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J:\ChangLiu\UFL Dropbox\Chang Liu\MiM_CRUNCH\Tables\"/>
    </mc:Choice>
  </mc:AlternateContent>
  <xr:revisionPtr revIDLastSave="0" documentId="13_ncr:1_{4E88EB6F-1939-4595-AD22-2E6BC97419D2}" xr6:coauthVersionLast="47" xr6:coauthVersionMax="47" xr10:uidLastSave="{00000000-0000-0000-0000-000000000000}"/>
  <bookViews>
    <workbookView xWindow="7200" yWindow="3195" windowWidth="21600" windowHeight="12405" activeTab="1" xr2:uid="{92717975-E7D7-41A3-BCA3-E6B1508D6E33}"/>
  </bookViews>
  <sheets>
    <sheet name="Demographics_all" sheetId="8" r:id="rId1"/>
    <sheet name="Demographics" sheetId="10" r:id="rId2"/>
    <sheet name="Table" sheetId="9" r:id="rId3"/>
    <sheet name="SPSS-Loadsol-Total_Cov" sheetId="6" r:id="rId4"/>
    <sheet name="Loadsol-Total_Cov" sheetId="3" r:id="rId5"/>
    <sheet name="SPSS-IMU-Cov" sheetId="7" r:id="rId6"/>
    <sheet name="IMU-Cov" sheetId="5" r:id="rId7"/>
  </sheets>
  <definedNames>
    <definedName name="_xlnm._FilterDatabase" localSheetId="0" hidden="1">Demographics_all!$A$1:$BI$132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3" i="8" l="1"/>
  <c r="J134" i="8"/>
  <c r="G134" i="8"/>
  <c r="G133" i="8"/>
  <c r="H134" i="8"/>
  <c r="H133" i="8"/>
  <c r="H109" i="10"/>
  <c r="H108" i="10"/>
  <c r="H107" i="10"/>
  <c r="H106" i="10"/>
  <c r="H105" i="10"/>
  <c r="G105" i="10"/>
  <c r="G107" i="10"/>
  <c r="M107" i="10"/>
  <c r="M106" i="10"/>
  <c r="M105" i="10"/>
  <c r="M108" i="10" s="1"/>
  <c r="L107" i="10"/>
  <c r="L106" i="10"/>
  <c r="L105" i="10"/>
  <c r="L108" i="10" s="1"/>
  <c r="K107" i="10"/>
  <c r="K106" i="10"/>
  <c r="K105" i="10"/>
  <c r="K108" i="10" s="1"/>
  <c r="J108" i="10"/>
  <c r="J107" i="10"/>
  <c r="J106" i="10"/>
  <c r="J105" i="10"/>
  <c r="I107" i="10"/>
  <c r="I106" i="10"/>
  <c r="I105" i="10"/>
  <c r="I108" i="10" s="1"/>
  <c r="F108" i="10"/>
  <c r="F107" i="10"/>
  <c r="F106" i="10"/>
  <c r="F105" i="10"/>
  <c r="N66" i="8"/>
  <c r="M66" i="8"/>
  <c r="N64" i="8"/>
  <c r="N59" i="8"/>
  <c r="M59" i="8"/>
  <c r="N55" i="8"/>
  <c r="M37" i="8"/>
  <c r="N37" i="8" s="1"/>
  <c r="M36" i="8"/>
  <c r="M34" i="8"/>
  <c r="M31" i="8"/>
  <c r="N31" i="8" s="1"/>
  <c r="M30" i="8"/>
  <c r="N30" i="8" s="1"/>
  <c r="N26" i="8"/>
  <c r="N27" i="8"/>
  <c r="N28" i="8"/>
  <c r="N29" i="8"/>
  <c r="N33" i="8"/>
  <c r="N32" i="8"/>
  <c r="N35" i="8"/>
  <c r="N34" i="8"/>
  <c r="N36" i="8"/>
  <c r="N24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M109" i="8"/>
  <c r="M108" i="8"/>
  <c r="M104" i="8"/>
  <c r="M103" i="8"/>
  <c r="M102" i="8"/>
  <c r="M100" i="8"/>
  <c r="M99" i="8"/>
  <c r="M96" i="8"/>
  <c r="N39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6" i="8"/>
  <c r="N57" i="8"/>
  <c r="N58" i="8"/>
  <c r="N60" i="8"/>
  <c r="N61" i="8"/>
  <c r="N62" i="8"/>
  <c r="N63" i="8"/>
  <c r="N65" i="8"/>
  <c r="N2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38" i="8"/>
  <c r="N4" i="8"/>
  <c r="N5" i="8"/>
  <c r="N6" i="8"/>
  <c r="N7" i="8"/>
  <c r="N8" i="8"/>
  <c r="N9" i="8"/>
  <c r="N10" i="8"/>
  <c r="N11" i="8"/>
  <c r="N12" i="8"/>
  <c r="N13" i="8"/>
  <c r="N14" i="8"/>
  <c r="N15" i="8"/>
  <c r="N17" i="8"/>
  <c r="N16" i="8"/>
  <c r="N18" i="8"/>
  <c r="N19" i="8"/>
  <c r="N20" i="8"/>
  <c r="N21" i="8"/>
  <c r="N22" i="8"/>
  <c r="N23" i="8"/>
  <c r="N3" i="8"/>
  <c r="M95" i="8"/>
  <c r="M94" i="8"/>
  <c r="M93" i="8"/>
  <c r="M92" i="8"/>
  <c r="M91" i="8"/>
  <c r="M90" i="8"/>
  <c r="M89" i="8"/>
  <c r="M87" i="8"/>
  <c r="M85" i="8"/>
  <c r="M83" i="8"/>
  <c r="M71" i="8"/>
</calcChain>
</file>

<file path=xl/sharedStrings.xml><?xml version="1.0" encoding="utf-8"?>
<sst xmlns="http://schemas.openxmlformats.org/spreadsheetml/2006/main" count="982" uniqueCount="312">
  <si>
    <t>Gait Cycle Duration cov</t>
  </si>
  <si>
    <t>Stance Duration cov</t>
  </si>
  <si>
    <t>Swing Duration cov</t>
  </si>
  <si>
    <t>Single Support cov</t>
  </si>
  <si>
    <t>Step Duration cov</t>
  </si>
  <si>
    <t>Initial DS cov</t>
  </si>
  <si>
    <t>Termial DS cov</t>
  </si>
  <si>
    <t>Total DS cov</t>
  </si>
  <si>
    <t>Apexc_cov</t>
  </si>
  <si>
    <t>ML_exc_cov</t>
  </si>
  <si>
    <t>UDexc_cov</t>
  </si>
  <si>
    <t>PeakAntVel_cov</t>
  </si>
  <si>
    <t>PeakLatVel_cov</t>
  </si>
  <si>
    <t>PeakUpVel_cov</t>
  </si>
  <si>
    <t>Age Group 3 (1=YA; 2=HF_OA; 3=LF_OA)</t>
  </si>
  <si>
    <t>Age Group 2 (1=Younger; 2=Older)</t>
  </si>
  <si>
    <t>a</t>
  </si>
  <si>
    <t>b</t>
  </si>
  <si>
    <t>c</t>
  </si>
  <si>
    <t>Subject_Count</t>
  </si>
  <si>
    <t>NaN</t>
  </si>
  <si>
    <t>Subject_ID</t>
  </si>
  <si>
    <t>a - Gait Cycle Duration cov</t>
  </si>
  <si>
    <t>b - Gait Cycle Duration cov</t>
  </si>
  <si>
    <t>c - Gait Cycle Duration cov</t>
  </si>
  <si>
    <t>a - Stance Duration cov</t>
  </si>
  <si>
    <t>b  - Stance Duration cov</t>
  </si>
  <si>
    <t>c  - Stance Duration cov</t>
  </si>
  <si>
    <t>a - Swing Duration cov</t>
  </si>
  <si>
    <t>b - Swing Duration cov</t>
  </si>
  <si>
    <t>c - Swing Duration cov</t>
  </si>
  <si>
    <t>a - Single Support cov</t>
  </si>
  <si>
    <t>b - Single Support cov</t>
  </si>
  <si>
    <t>c - Single Support cov</t>
  </si>
  <si>
    <t>a - Step Duration cov</t>
  </si>
  <si>
    <t>b - Step Duration cov</t>
  </si>
  <si>
    <t>c - Step Duration cov</t>
  </si>
  <si>
    <t>a - Initial DS cov</t>
  </si>
  <si>
    <t>b - Initial DS cov</t>
  </si>
  <si>
    <t>c - Initial DS cov</t>
  </si>
  <si>
    <t>a - Termial DS cov</t>
  </si>
  <si>
    <t>b - Termial DS cov</t>
  </si>
  <si>
    <t>c - Termial DS cov</t>
  </si>
  <si>
    <t>a - Total DS cov</t>
  </si>
  <si>
    <t>b - Total DS cov</t>
  </si>
  <si>
    <t>c - Total DS cov</t>
  </si>
  <si>
    <t>a - Apexc_cov</t>
  </si>
  <si>
    <t>b - Apexc_cov</t>
  </si>
  <si>
    <t>c - Apexc_cov</t>
  </si>
  <si>
    <t>a - ML_exc_cov</t>
  </si>
  <si>
    <t>b - ML_exc_cov</t>
  </si>
  <si>
    <t>c - ML_exc_cov</t>
  </si>
  <si>
    <t>a - UDexc_cov</t>
  </si>
  <si>
    <t>b - UDexc_cov</t>
  </si>
  <si>
    <t>c - UDexc_cov</t>
  </si>
  <si>
    <t>a - PeakAntVel_cov</t>
  </si>
  <si>
    <t>b - PeakAntVel_cov</t>
  </si>
  <si>
    <t>c - PeakAntVel_cov</t>
  </si>
  <si>
    <t>a - PeakLatVel_cov</t>
  </si>
  <si>
    <t>b - PeakLatVel_cov</t>
  </si>
  <si>
    <t>c - PeakLatVel_cov</t>
  </si>
  <si>
    <t>a - PeakUpVel_cov</t>
  </si>
  <si>
    <t>b - PeakUpVel_cov</t>
  </si>
  <si>
    <t>c - PeakUpVel_cov</t>
  </si>
  <si>
    <t>collection_date</t>
  </si>
  <si>
    <t>subject_code</t>
  </si>
  <si>
    <t>H1002</t>
  </si>
  <si>
    <t>no Resting</t>
  </si>
  <si>
    <t>H1004</t>
  </si>
  <si>
    <t>H1007</t>
  </si>
  <si>
    <t>H1009</t>
  </si>
  <si>
    <t>H1010</t>
  </si>
  <si>
    <t>H1011</t>
  </si>
  <si>
    <t>H1012</t>
  </si>
  <si>
    <t>H1013</t>
  </si>
  <si>
    <t>H1017</t>
  </si>
  <si>
    <t>H1018</t>
  </si>
  <si>
    <t>H1019</t>
  </si>
  <si>
    <t>H1020</t>
  </si>
  <si>
    <t>H1022</t>
  </si>
  <si>
    <t>H1024</t>
  </si>
  <si>
    <t>H1025</t>
  </si>
  <si>
    <t>participants had braids. Not gelled well</t>
  </si>
  <si>
    <t>H1026</t>
  </si>
  <si>
    <t>H1027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</si>
  <si>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</si>
  <si>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</si>
  <si>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</si>
  <si>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</si>
  <si>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</si>
  <si>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</si>
  <si>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</si>
  <si>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</si>
  <si>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</si>
  <si>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</si>
  <si>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</si>
  <si>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H1041</t>
  </si>
  <si>
    <t>H1042</t>
  </si>
  <si>
    <t>H1044</t>
  </si>
  <si>
    <t>y cable issue</t>
  </si>
  <si>
    <t>H1045</t>
  </si>
  <si>
    <t>H1046</t>
  </si>
  <si>
    <t>gelling issue</t>
  </si>
  <si>
    <t>H1047</t>
  </si>
  <si>
    <t>H1048</t>
  </si>
  <si>
    <t>H2002</t>
  </si>
  <si>
    <t>technical issue</t>
  </si>
  <si>
    <t>H2007</t>
  </si>
  <si>
    <t>not enough ic</t>
  </si>
  <si>
    <t>H2008</t>
  </si>
  <si>
    <t>H2010</t>
  </si>
  <si>
    <t>no MRI Scan</t>
  </si>
  <si>
    <t>H2013</t>
  </si>
  <si>
    <t>H2015</t>
  </si>
  <si>
    <t>H2017</t>
  </si>
  <si>
    <t>H2020</t>
  </si>
  <si>
    <t>H2021</t>
  </si>
  <si>
    <t>H2022</t>
  </si>
  <si>
    <t>H2023</t>
  </si>
  <si>
    <t>H2025</t>
  </si>
  <si>
    <t>H2026</t>
  </si>
  <si>
    <t>H2027</t>
  </si>
  <si>
    <t>H2033</t>
  </si>
  <si>
    <t>no resting</t>
  </si>
  <si>
    <t>H2034</t>
  </si>
  <si>
    <t>H2036</t>
  </si>
  <si>
    <t>H2037</t>
  </si>
  <si>
    <t>H2038</t>
  </si>
  <si>
    <t>H2039</t>
  </si>
  <si>
    <t>H2041</t>
  </si>
  <si>
    <t>H2042</t>
  </si>
  <si>
    <t>H2052</t>
  </si>
  <si>
    <t>H2059</t>
  </si>
  <si>
    <t>H2062</t>
  </si>
  <si>
    <t>H2072</t>
  </si>
  <si>
    <t>H2082</t>
  </si>
  <si>
    <t>H2090</t>
  </si>
  <si>
    <t>H2095</t>
  </si>
  <si>
    <t>H2111</t>
  </si>
  <si>
    <t>H2117</t>
  </si>
  <si>
    <t>H3018</t>
  </si>
  <si>
    <t>H3024</t>
  </si>
  <si>
    <t>missing conditions, no high terrain</t>
  </si>
  <si>
    <t>H3029</t>
  </si>
  <si>
    <t>H3034</t>
  </si>
  <si>
    <t>H3039</t>
  </si>
  <si>
    <t>H3042</t>
  </si>
  <si>
    <t>slow walker &lt;0.1m/s</t>
  </si>
  <si>
    <t>H3046</t>
  </si>
  <si>
    <t>missing conditions, slow walker &lt;0.1m/s, walked all terrain</t>
  </si>
  <si>
    <t>H3047</t>
  </si>
  <si>
    <t>H3053</t>
  </si>
  <si>
    <t>H3063</t>
  </si>
  <si>
    <t>H3072</t>
  </si>
  <si>
    <t>H3073</t>
  </si>
  <si>
    <t>H3077</t>
  </si>
  <si>
    <t>not include, missing conditions, walked all terrain</t>
  </si>
  <si>
    <t>H3092</t>
  </si>
  <si>
    <t>H3103</t>
  </si>
  <si>
    <t>H3107</t>
  </si>
  <si>
    <t>H3120</t>
  </si>
  <si>
    <t>NH3002</t>
  </si>
  <si>
    <t>NH3004</t>
  </si>
  <si>
    <t>NH3006</t>
  </si>
  <si>
    <t>NH3007</t>
  </si>
  <si>
    <t>NH3008</t>
  </si>
  <si>
    <t>NH3009</t>
  </si>
  <si>
    <t>NH3010</t>
  </si>
  <si>
    <t>NH3021</t>
  </si>
  <si>
    <t>NH3023</t>
  </si>
  <si>
    <t>no headscan click, did not finish any of the conditions</t>
  </si>
  <si>
    <t>NH3025</t>
  </si>
  <si>
    <t>NH3026</t>
  </si>
  <si>
    <t>NH3027</t>
  </si>
  <si>
    <t>NH3028</t>
  </si>
  <si>
    <t>NH3030</t>
  </si>
  <si>
    <t>NH3036</t>
  </si>
  <si>
    <t>NH3040</t>
  </si>
  <si>
    <t>NH3041</t>
  </si>
  <si>
    <t>NH3043</t>
  </si>
  <si>
    <t>NH3051</t>
  </si>
  <si>
    <t>NH3054</t>
  </si>
  <si>
    <t>NH3055</t>
  </si>
  <si>
    <t>NH3056</t>
  </si>
  <si>
    <t>NH3058</t>
  </si>
  <si>
    <t>NH3059</t>
  </si>
  <si>
    <t>NH3066</t>
  </si>
  <si>
    <t>NH3068</t>
  </si>
  <si>
    <t>NH3069</t>
  </si>
  <si>
    <t>NH3070</t>
  </si>
  <si>
    <t>NH3071</t>
  </si>
  <si>
    <t>NH3074</t>
  </si>
  <si>
    <t>NH3076</t>
  </si>
  <si>
    <t>NH3082</t>
  </si>
  <si>
    <t>NH3086</t>
  </si>
  <si>
    <t>NH3090</t>
  </si>
  <si>
    <t>NH3102</t>
  </si>
  <si>
    <t>NH3104</t>
  </si>
  <si>
    <t>NH3105</t>
  </si>
  <si>
    <t>NH3106</t>
  </si>
  <si>
    <t>NH3108</t>
  </si>
  <si>
    <t>NH3110</t>
  </si>
  <si>
    <t>NH3112</t>
  </si>
  <si>
    <t>NH3113</t>
  </si>
  <si>
    <t>NH3114</t>
  </si>
  <si>
    <t>NH3123</t>
  </si>
  <si>
    <t>NH3128</t>
  </si>
  <si>
    <t>NH3129</t>
  </si>
  <si>
    <t>No</t>
  </si>
  <si>
    <t>YES</t>
  </si>
  <si>
    <t>NO</t>
  </si>
  <si>
    <t>og_walkspeed_flat</t>
  </si>
  <si>
    <t>og_walkspeed_low</t>
  </si>
  <si>
    <t>og_walkspeed_med</t>
  </si>
  <si>
    <t>og_walkspeed_high</t>
  </si>
  <si>
    <t>grip_hand_dom of Untitled 595</t>
  </si>
  <si>
    <t>grip_handtested</t>
  </si>
  <si>
    <t>grip_average</t>
  </si>
  <si>
    <t>Depression</t>
  </si>
  <si>
    <t>wm_rs</t>
  </si>
  <si>
    <t>wm_uss</t>
  </si>
  <si>
    <t>wm_acss</t>
  </si>
  <si>
    <t>wm_np</t>
  </si>
  <si>
    <t>wm_fcts</t>
  </si>
  <si>
    <t>dc_rs</t>
  </si>
  <si>
    <t>dc_cs</t>
  </si>
  <si>
    <t>dc_uss</t>
  </si>
  <si>
    <t>dc_acss</t>
  </si>
  <si>
    <t>dc_np</t>
  </si>
  <si>
    <t>dc_fct</t>
  </si>
  <si>
    <t>flanker_rs</t>
  </si>
  <si>
    <t>fi_cs</t>
  </si>
  <si>
    <t>fi_uss</t>
  </si>
  <si>
    <t>fi_acss</t>
  </si>
  <si>
    <t>fi_np</t>
  </si>
  <si>
    <t>fi_fcts</t>
  </si>
  <si>
    <t>SBP</t>
  </si>
  <si>
    <t>DBP</t>
  </si>
  <si>
    <t>HR</t>
  </si>
  <si>
    <t>wt_kg</t>
  </si>
  <si>
    <t>ht_cm</t>
  </si>
  <si>
    <t>waist_circumfere_cm</t>
  </si>
  <si>
    <t>hip_circumfere_cm</t>
  </si>
  <si>
    <t>WHR</t>
  </si>
  <si>
    <t>abc scale</t>
  </si>
  <si>
    <t>moca_total</t>
  </si>
  <si>
    <t>age_mr</t>
  </si>
  <si>
    <t>height_inch_mr</t>
  </si>
  <si>
    <t>height_cm_mr</t>
  </si>
  <si>
    <t>height_meter</t>
  </si>
  <si>
    <t>weight_lbs</t>
  </si>
  <si>
    <t>weight_kg</t>
  </si>
  <si>
    <t>BMI</t>
  </si>
  <si>
    <t>sex_mr</t>
  </si>
  <si>
    <t>sppb_12</t>
  </si>
  <si>
    <t>time_to_walk_400_meters_re</t>
  </si>
  <si>
    <t>400_meters_seconds</t>
  </si>
  <si>
    <t>grip_hand_dom of handedness</t>
  </si>
  <si>
    <t>Age</t>
  </si>
  <si>
    <t>terrain_trials_speed_ms</t>
  </si>
  <si>
    <t>Included</t>
  </si>
  <si>
    <t>no MRI Scan, will be fixed</t>
  </si>
  <si>
    <t>Included_202404</t>
  </si>
  <si>
    <t>H2012_FU</t>
  </si>
  <si>
    <t>H2018_FU</t>
  </si>
  <si>
    <t>has_IMU_202404</t>
  </si>
  <si>
    <t>NO_bug(wrong with second trial)</t>
  </si>
  <si>
    <t>missing conditions, no low terrain due to amp power failure</t>
  </si>
  <si>
    <t>no brain component</t>
  </si>
  <si>
    <t>&lt;5 brain component</t>
  </si>
  <si>
    <t>F</t>
  </si>
  <si>
    <t>Moca</t>
  </si>
  <si>
    <t>Handedness (1=R, 2=L)</t>
  </si>
  <si>
    <t>SPPB</t>
  </si>
  <si>
    <t>400m_speed</t>
  </si>
  <si>
    <t>Sex(1=M,0=F)</t>
  </si>
  <si>
    <t>N/A</t>
  </si>
  <si>
    <t>both</t>
  </si>
  <si>
    <t>Young Adults
 (n = 31)</t>
  </si>
  <si>
    <t>Older Adults
 (n = 71)</t>
  </si>
  <si>
    <t>P value</t>
  </si>
  <si>
    <t>Hand dominance (Right/Left/Both)</t>
  </si>
  <si>
    <t>Sex (M/F）</t>
  </si>
  <si>
    <t>400m walk (sec)</t>
  </si>
  <si>
    <t>Young</t>
  </si>
  <si>
    <t>Old</t>
  </si>
  <si>
    <t>Mean</t>
  </si>
  <si>
    <t>Std</t>
  </si>
  <si>
    <t>24(4)</t>
  </si>
  <si>
    <t>75(8)</t>
  </si>
  <si>
    <t>16/16</t>
  </si>
  <si>
    <t>31/40</t>
  </si>
  <si>
    <t>29/3</t>
  </si>
  <si>
    <t>65/5/1</t>
  </si>
  <si>
    <t>Treadmill speed (m/s)</t>
  </si>
  <si>
    <t>0.70(0.16)</t>
  </si>
  <si>
    <t>0.39(0.20)</t>
  </si>
  <si>
    <t>12(0)</t>
  </si>
  <si>
    <t>9(1.7)</t>
  </si>
  <si>
    <t>326(40.5)</t>
  </si>
  <si>
    <t>389.5(63)</t>
  </si>
  <si>
    <t>28(1.4)</t>
  </si>
  <si>
    <t>27.5(1.6)</t>
  </si>
  <si>
    <t>400m speed (m/s)</t>
  </si>
  <si>
    <t>1.2(0.15)</t>
  </si>
  <si>
    <t>1.05(0.17)</t>
  </si>
  <si>
    <t>n.a</t>
  </si>
  <si>
    <t>P &lt;.001</t>
  </si>
  <si>
    <r>
      <t>Montreal Cognitive Assessment</t>
    </r>
    <r>
      <rPr>
        <b/>
        <vertAlign val="superscript"/>
        <sz val="11"/>
        <color theme="1"/>
        <rFont val="Arial"/>
        <family val="2"/>
      </rPr>
      <t>a</t>
    </r>
  </si>
  <si>
    <t>mean(std)</t>
  </si>
  <si>
    <r>
      <t>Short Physical Performance Battery</t>
    </r>
    <r>
      <rPr>
        <b/>
        <vertAlign val="superscript"/>
        <sz val="11"/>
        <color theme="1"/>
        <rFont val="Arial"/>
        <family val="2"/>
      </rPr>
      <t>a</t>
    </r>
  </si>
  <si>
    <t>P = 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</si>
</sst>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quotePrefix="1"/>
    <xf numFmtId="0" fontId="2" fillId="0" borderId="0" xfId="0" applyFont="1"/>
    <xf numFmtId="14" fontId="3" fillId="0" borderId="0" xfId="0" applyNumberFormat="1" applyFont="1"/>
    <xf numFmtId="14" fontId="0" fillId="0" borderId="0" xfId="0" applyNumberFormat="1"/>
    <xf numFmtId="0" fontId="1" fillId="0" borderId="0" xfId="0" applyFont="1"/>
    <xf numFmtId="1" fontId="2" fillId="0" borderId="0" xfId="0" applyNumberFormat="1" applyFont="1"/>
    <xf numFmtId="1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2" tint="-0.24994659260841701"/>
        </patternFill>
      </fill>
    </dxf>
    <dxf>
      <fill>
        <patternFill>
          <bgColor rgb="FFFF5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5050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411D-BC4C-4CF3-B437-1074E55E1EAA}">
  <dimension ref="A1:BI134"/>
  <sheetViews>
    <sheetView workbookViewId="0">
      <pane xSplit="4" ySplit="1" topLeftCell="N56" activePane="bottomRight" state="frozen"/>
      <selection pane="topRight" activeCell="E1" sqref="E1"/>
      <selection pane="bottomLeft" activeCell="A2" sqref="A2"/>
      <selection pane="bottomRight" activeCell="AQ10" sqref="AQ10"/>
    </sheetView>
  </sheetViews>
  <sheetFormatPr defaultRowHeight="15" x14ac:dyDescent="0.25"/>
  <cols>
    <col min="1" max="1" width="13" customWidth="1"/>
    <col min="2" max="2" width="7.140625" style="8" customWidth="1"/>
    <col min="4" max="4" width="1.5703125" hidden="1" customWidth="1"/>
    <col min="5" max="5" width="13.28515625" customWidth="1"/>
    <col min="9" max="14" width="10" customWidth="1"/>
  </cols>
  <sheetData>
    <row r="1" spans="1:61" ht="75" x14ac:dyDescent="0.25">
      <c r="A1" s="2" t="s">
        <v>64</v>
      </c>
      <c r="B1" s="6" t="s">
        <v>208</v>
      </c>
      <c r="C1" s="2" t="s">
        <v>65</v>
      </c>
      <c r="D1" t="s">
        <v>260</v>
      </c>
      <c r="E1" t="s">
        <v>262</v>
      </c>
      <c r="F1" t="s">
        <v>265</v>
      </c>
      <c r="G1" s="10" t="s">
        <v>258</v>
      </c>
      <c r="H1" s="10" t="s">
        <v>275</v>
      </c>
      <c r="I1" s="10" t="s">
        <v>272</v>
      </c>
      <c r="J1" s="11" t="s">
        <v>259</v>
      </c>
      <c r="K1" s="13" t="s">
        <v>271</v>
      </c>
      <c r="L1" s="13" t="s">
        <v>273</v>
      </c>
      <c r="M1" t="s">
        <v>256</v>
      </c>
      <c r="N1" t="s">
        <v>274</v>
      </c>
      <c r="O1" s="9" t="s">
        <v>211</v>
      </c>
      <c r="P1" s="9" t="s">
        <v>212</v>
      </c>
      <c r="Q1" s="9" t="s">
        <v>213</v>
      </c>
      <c r="R1" s="9" t="s">
        <v>214</v>
      </c>
      <c r="S1" s="9" t="s">
        <v>215</v>
      </c>
      <c r="T1" s="9" t="s">
        <v>216</v>
      </c>
      <c r="U1" s="9" t="s">
        <v>217</v>
      </c>
      <c r="V1" s="9" t="s">
        <v>218</v>
      </c>
      <c r="W1" s="9" t="s">
        <v>219</v>
      </c>
      <c r="X1" s="9" t="s">
        <v>220</v>
      </c>
      <c r="Y1" s="9" t="s">
        <v>221</v>
      </c>
      <c r="Z1" s="9" t="s">
        <v>222</v>
      </c>
      <c r="AA1" s="9" t="s">
        <v>223</v>
      </c>
      <c r="AB1" s="9" t="s">
        <v>224</v>
      </c>
      <c r="AC1" s="9" t="s">
        <v>225</v>
      </c>
      <c r="AD1" s="9" t="s">
        <v>226</v>
      </c>
      <c r="AE1" s="9" t="s">
        <v>227</v>
      </c>
      <c r="AF1" s="9" t="s">
        <v>228</v>
      </c>
      <c r="AG1" s="9" t="s">
        <v>229</v>
      </c>
      <c r="AH1" s="9" t="s">
        <v>230</v>
      </c>
      <c r="AI1" s="9" t="s">
        <v>231</v>
      </c>
      <c r="AJ1" s="9" t="s">
        <v>232</v>
      </c>
      <c r="AK1" s="9" t="s">
        <v>233</v>
      </c>
      <c r="AL1" s="9" t="s">
        <v>234</v>
      </c>
      <c r="AM1" s="9" t="s">
        <v>235</v>
      </c>
      <c r="AN1" s="9" t="s">
        <v>236</v>
      </c>
      <c r="AO1" s="9" t="s">
        <v>237</v>
      </c>
      <c r="AP1" s="9" t="s">
        <v>238</v>
      </c>
      <c r="AQ1" s="9" t="s">
        <v>239</v>
      </c>
      <c r="AR1" s="9" t="s">
        <v>240</v>
      </c>
      <c r="AS1" s="9" t="s">
        <v>241</v>
      </c>
      <c r="AT1" s="9" t="s">
        <v>242</v>
      </c>
      <c r="AU1" s="9" t="s">
        <v>243</v>
      </c>
      <c r="AV1" s="9" t="s">
        <v>244</v>
      </c>
      <c r="AW1" s="9" t="s">
        <v>245</v>
      </c>
      <c r="AX1" s="9" t="s">
        <v>246</v>
      </c>
      <c r="AY1" s="9" t="s">
        <v>247</v>
      </c>
      <c r="AZ1" s="9" t="s">
        <v>248</v>
      </c>
      <c r="BA1" s="9" t="s">
        <v>249</v>
      </c>
      <c r="BB1" s="9" t="s">
        <v>250</v>
      </c>
      <c r="BC1" s="9" t="s">
        <v>251</v>
      </c>
      <c r="BD1" s="9" t="s">
        <v>252</v>
      </c>
      <c r="BE1" s="9" t="s">
        <v>253</v>
      </c>
      <c r="BF1" s="9" t="s">
        <v>254</v>
      </c>
      <c r="BG1" s="9" t="s">
        <v>255</v>
      </c>
      <c r="BH1" s="9" t="s">
        <v>256</v>
      </c>
      <c r="BI1" s="9" t="s">
        <v>257</v>
      </c>
    </row>
    <row r="2" spans="1:61" x14ac:dyDescent="0.25">
      <c r="A2" s="4">
        <v>44637</v>
      </c>
      <c r="B2" s="8">
        <v>64</v>
      </c>
      <c r="C2" t="s">
        <v>135</v>
      </c>
      <c r="F2" t="s">
        <v>266</v>
      </c>
      <c r="G2">
        <v>68</v>
      </c>
      <c r="H2">
        <v>0</v>
      </c>
      <c r="I2">
        <v>1</v>
      </c>
      <c r="J2">
        <v>0.35</v>
      </c>
      <c r="K2">
        <v>25</v>
      </c>
      <c r="L2">
        <v>10</v>
      </c>
      <c r="M2">
        <v>303</v>
      </c>
      <c r="N2" s="14">
        <f t="shared" ref="N2:N24" si="0">400/M2</f>
        <v>1.3201320132013201</v>
      </c>
    </row>
    <row r="3" spans="1:61" x14ac:dyDescent="0.25">
      <c r="A3" s="3">
        <v>43699</v>
      </c>
      <c r="B3" s="7">
        <v>1</v>
      </c>
      <c r="C3" t="s">
        <v>66</v>
      </c>
      <c r="D3" t="s">
        <v>67</v>
      </c>
      <c r="E3" t="s">
        <v>67</v>
      </c>
      <c r="F3" t="s">
        <v>209</v>
      </c>
      <c r="G3">
        <v>33</v>
      </c>
      <c r="H3">
        <v>1</v>
      </c>
      <c r="I3">
        <v>1</v>
      </c>
      <c r="J3">
        <v>0.86</v>
      </c>
      <c r="K3">
        <v>30</v>
      </c>
      <c r="L3">
        <v>12</v>
      </c>
      <c r="M3">
        <v>331</v>
      </c>
      <c r="N3" s="14">
        <f t="shared" si="0"/>
        <v>1.2084592145015105</v>
      </c>
    </row>
    <row r="4" spans="1:61" x14ac:dyDescent="0.25">
      <c r="A4" s="4">
        <v>43719</v>
      </c>
      <c r="B4" s="8">
        <v>2</v>
      </c>
      <c r="C4" t="s">
        <v>68</v>
      </c>
      <c r="F4" t="s">
        <v>209</v>
      </c>
      <c r="G4">
        <v>30</v>
      </c>
      <c r="H4">
        <v>1</v>
      </c>
      <c r="I4">
        <v>1</v>
      </c>
      <c r="J4">
        <v>0.87</v>
      </c>
      <c r="K4">
        <v>29</v>
      </c>
      <c r="L4">
        <v>12</v>
      </c>
      <c r="M4">
        <v>306</v>
      </c>
      <c r="N4" s="14">
        <f t="shared" si="0"/>
        <v>1.3071895424836601</v>
      </c>
    </row>
    <row r="5" spans="1:61" x14ac:dyDescent="0.25">
      <c r="A5" s="4">
        <v>43755</v>
      </c>
      <c r="B5" s="7">
        <v>3</v>
      </c>
      <c r="C5" t="s">
        <v>69</v>
      </c>
      <c r="F5" t="s">
        <v>209</v>
      </c>
      <c r="G5">
        <v>22</v>
      </c>
      <c r="H5">
        <v>1</v>
      </c>
      <c r="I5">
        <v>1</v>
      </c>
      <c r="J5">
        <v>0.91</v>
      </c>
      <c r="K5">
        <v>30</v>
      </c>
      <c r="L5">
        <v>12</v>
      </c>
      <c r="M5">
        <v>348</v>
      </c>
      <c r="N5" s="14">
        <f t="shared" si="0"/>
        <v>1.1494252873563218</v>
      </c>
    </row>
    <row r="6" spans="1:61" x14ac:dyDescent="0.25">
      <c r="A6" s="4">
        <v>43731</v>
      </c>
      <c r="B6" s="8">
        <v>4</v>
      </c>
      <c r="C6" t="s">
        <v>70</v>
      </c>
      <c r="F6" t="s">
        <v>209</v>
      </c>
      <c r="G6">
        <v>21</v>
      </c>
      <c r="H6">
        <v>0</v>
      </c>
      <c r="I6">
        <v>1</v>
      </c>
      <c r="J6">
        <v>0.67</v>
      </c>
      <c r="K6">
        <v>30</v>
      </c>
      <c r="L6">
        <v>12</v>
      </c>
      <c r="M6">
        <v>370</v>
      </c>
      <c r="N6" s="14">
        <f t="shared" si="0"/>
        <v>1.0810810810810811</v>
      </c>
    </row>
    <row r="7" spans="1:61" x14ac:dyDescent="0.25">
      <c r="A7" s="4">
        <v>43805</v>
      </c>
      <c r="B7" s="7">
        <v>5</v>
      </c>
      <c r="C7" t="s">
        <v>71</v>
      </c>
      <c r="F7" t="s">
        <v>209</v>
      </c>
      <c r="G7">
        <v>20</v>
      </c>
      <c r="H7">
        <v>0</v>
      </c>
      <c r="I7">
        <v>1</v>
      </c>
      <c r="J7">
        <v>0.78</v>
      </c>
      <c r="K7">
        <v>27</v>
      </c>
      <c r="L7">
        <v>12</v>
      </c>
      <c r="M7">
        <v>356</v>
      </c>
      <c r="N7" s="14">
        <f t="shared" si="0"/>
        <v>1.1235955056179776</v>
      </c>
    </row>
    <row r="8" spans="1:61" x14ac:dyDescent="0.25">
      <c r="A8" s="4">
        <v>43728</v>
      </c>
      <c r="B8" s="8">
        <v>6</v>
      </c>
      <c r="C8" t="s">
        <v>72</v>
      </c>
      <c r="F8" t="s">
        <v>209</v>
      </c>
      <c r="G8">
        <v>26</v>
      </c>
      <c r="H8">
        <v>1</v>
      </c>
      <c r="I8">
        <v>1</v>
      </c>
      <c r="J8">
        <v>1.2</v>
      </c>
      <c r="K8">
        <v>27</v>
      </c>
      <c r="L8">
        <v>12</v>
      </c>
      <c r="M8">
        <v>282</v>
      </c>
      <c r="N8" s="14">
        <f t="shared" si="0"/>
        <v>1.4184397163120568</v>
      </c>
    </row>
    <row r="9" spans="1:61" x14ac:dyDescent="0.25">
      <c r="A9" s="4">
        <v>43732</v>
      </c>
      <c r="B9" s="7">
        <v>7</v>
      </c>
      <c r="C9" t="s">
        <v>73</v>
      </c>
      <c r="F9" t="s">
        <v>209</v>
      </c>
      <c r="G9">
        <v>23</v>
      </c>
      <c r="H9">
        <v>0</v>
      </c>
      <c r="I9">
        <v>1</v>
      </c>
      <c r="J9">
        <v>0.7</v>
      </c>
      <c r="K9">
        <v>27</v>
      </c>
      <c r="L9">
        <v>12</v>
      </c>
      <c r="M9">
        <v>300</v>
      </c>
      <c r="N9" s="14">
        <f t="shared" si="0"/>
        <v>1.3333333333333333</v>
      </c>
    </row>
    <row r="10" spans="1:61" x14ac:dyDescent="0.25">
      <c r="A10" s="4">
        <v>43845</v>
      </c>
      <c r="B10" s="8">
        <v>8</v>
      </c>
      <c r="C10" t="s">
        <v>74</v>
      </c>
      <c r="F10" t="s">
        <v>209</v>
      </c>
      <c r="G10">
        <v>23</v>
      </c>
      <c r="H10">
        <v>1</v>
      </c>
      <c r="I10">
        <v>1</v>
      </c>
      <c r="J10">
        <v>0.92</v>
      </c>
      <c r="K10">
        <v>28</v>
      </c>
      <c r="L10">
        <v>12</v>
      </c>
      <c r="M10">
        <v>274</v>
      </c>
      <c r="N10" s="14">
        <f t="shared" si="0"/>
        <v>1.4598540145985401</v>
      </c>
    </row>
    <row r="11" spans="1:61" x14ac:dyDescent="0.25">
      <c r="A11" s="4">
        <v>44539</v>
      </c>
      <c r="B11" s="7">
        <v>9</v>
      </c>
      <c r="C11" t="s">
        <v>75</v>
      </c>
      <c r="F11" t="s">
        <v>209</v>
      </c>
      <c r="G11">
        <v>24</v>
      </c>
      <c r="H11">
        <v>1</v>
      </c>
      <c r="I11">
        <v>1</v>
      </c>
      <c r="J11">
        <v>0.69</v>
      </c>
      <c r="K11">
        <v>29</v>
      </c>
      <c r="L11">
        <v>12</v>
      </c>
      <c r="M11">
        <v>448</v>
      </c>
      <c r="N11" s="14">
        <f t="shared" si="0"/>
        <v>0.8928571428571429</v>
      </c>
    </row>
    <row r="12" spans="1:61" x14ac:dyDescent="0.25">
      <c r="A12" s="4">
        <v>44264</v>
      </c>
      <c r="B12" s="8">
        <v>10</v>
      </c>
      <c r="C12" t="s">
        <v>76</v>
      </c>
      <c r="F12" t="s">
        <v>209</v>
      </c>
      <c r="G12">
        <v>20</v>
      </c>
      <c r="H12">
        <v>0</v>
      </c>
      <c r="I12">
        <v>1</v>
      </c>
      <c r="J12">
        <v>0.75</v>
      </c>
      <c r="K12">
        <v>30</v>
      </c>
      <c r="L12">
        <v>12</v>
      </c>
      <c r="M12">
        <v>341</v>
      </c>
      <c r="N12" s="14">
        <f t="shared" si="0"/>
        <v>1.1730205278592376</v>
      </c>
    </row>
    <row r="13" spans="1:61" x14ac:dyDescent="0.25">
      <c r="A13" s="4">
        <v>44348</v>
      </c>
      <c r="B13" s="7">
        <v>11</v>
      </c>
      <c r="C13" t="s">
        <v>77</v>
      </c>
      <c r="F13" t="s">
        <v>209</v>
      </c>
      <c r="G13">
        <v>25</v>
      </c>
      <c r="H13">
        <v>0</v>
      </c>
      <c r="I13">
        <v>1</v>
      </c>
      <c r="J13">
        <v>0.51</v>
      </c>
      <c r="K13">
        <v>29</v>
      </c>
      <c r="L13">
        <v>12</v>
      </c>
      <c r="M13">
        <v>368</v>
      </c>
      <c r="N13" s="14">
        <f t="shared" si="0"/>
        <v>1.0869565217391304</v>
      </c>
    </row>
    <row r="14" spans="1:61" x14ac:dyDescent="0.25">
      <c r="A14" s="4">
        <v>44083</v>
      </c>
      <c r="B14" s="8">
        <v>12</v>
      </c>
      <c r="C14" t="s">
        <v>78</v>
      </c>
      <c r="F14" t="s">
        <v>209</v>
      </c>
      <c r="G14">
        <v>21</v>
      </c>
      <c r="H14">
        <v>1</v>
      </c>
      <c r="I14">
        <v>1</v>
      </c>
      <c r="J14">
        <v>0.76</v>
      </c>
      <c r="K14">
        <v>28</v>
      </c>
      <c r="L14">
        <v>12</v>
      </c>
      <c r="M14">
        <v>359</v>
      </c>
      <c r="N14" s="14">
        <f t="shared" si="0"/>
        <v>1.1142061281337048</v>
      </c>
    </row>
    <row r="15" spans="1:61" x14ac:dyDescent="0.25">
      <c r="A15" s="4">
        <v>44133</v>
      </c>
      <c r="B15" s="7">
        <v>13</v>
      </c>
      <c r="C15" t="s">
        <v>79</v>
      </c>
      <c r="F15" t="s">
        <v>209</v>
      </c>
      <c r="G15">
        <v>21</v>
      </c>
      <c r="H15">
        <v>0</v>
      </c>
      <c r="I15">
        <v>1</v>
      </c>
      <c r="J15">
        <v>0.59</v>
      </c>
      <c r="K15">
        <v>30</v>
      </c>
      <c r="L15">
        <v>12</v>
      </c>
      <c r="M15">
        <v>335</v>
      </c>
      <c r="N15" s="14">
        <f t="shared" si="0"/>
        <v>1.1940298507462686</v>
      </c>
    </row>
    <row r="16" spans="1:61" x14ac:dyDescent="0.25">
      <c r="A16" s="4">
        <v>44228</v>
      </c>
      <c r="B16" s="7">
        <v>15</v>
      </c>
      <c r="C16" t="s">
        <v>81</v>
      </c>
      <c r="D16" t="s">
        <v>82</v>
      </c>
      <c r="E16" t="s">
        <v>82</v>
      </c>
      <c r="F16" t="s">
        <v>210</v>
      </c>
      <c r="G16">
        <v>20</v>
      </c>
      <c r="H16">
        <v>0</v>
      </c>
      <c r="I16">
        <v>1</v>
      </c>
      <c r="J16">
        <v>0.61</v>
      </c>
      <c r="K16">
        <v>25</v>
      </c>
      <c r="L16">
        <v>12</v>
      </c>
      <c r="M16">
        <v>481</v>
      </c>
      <c r="N16" s="14">
        <f t="shared" si="0"/>
        <v>0.83160083160083165</v>
      </c>
    </row>
    <row r="17" spans="1:14" x14ac:dyDescent="0.25">
      <c r="A17" s="4">
        <v>44145</v>
      </c>
      <c r="B17" s="8">
        <v>14</v>
      </c>
      <c r="C17" t="s">
        <v>80</v>
      </c>
      <c r="F17" t="s">
        <v>209</v>
      </c>
      <c r="G17">
        <v>22</v>
      </c>
      <c r="H17">
        <v>0</v>
      </c>
      <c r="I17">
        <v>1</v>
      </c>
      <c r="J17">
        <v>0.68</v>
      </c>
      <c r="K17">
        <v>26</v>
      </c>
      <c r="L17">
        <v>12</v>
      </c>
      <c r="M17">
        <v>383</v>
      </c>
      <c r="N17" s="14">
        <f t="shared" si="0"/>
        <v>1.0443864229765014</v>
      </c>
    </row>
    <row r="18" spans="1:14" x14ac:dyDescent="0.25">
      <c r="A18" s="4">
        <v>44180</v>
      </c>
      <c r="B18" s="8">
        <v>16</v>
      </c>
      <c r="C18" t="s">
        <v>83</v>
      </c>
      <c r="F18" t="s">
        <v>209</v>
      </c>
      <c r="G18">
        <v>20</v>
      </c>
      <c r="H18">
        <v>0</v>
      </c>
      <c r="I18">
        <v>1</v>
      </c>
      <c r="J18">
        <v>0.91</v>
      </c>
      <c r="K18">
        <v>28</v>
      </c>
      <c r="L18">
        <v>12</v>
      </c>
      <c r="M18">
        <v>321</v>
      </c>
      <c r="N18" s="14">
        <f t="shared" si="0"/>
        <v>1.2461059190031152</v>
      </c>
    </row>
    <row r="19" spans="1:14" x14ac:dyDescent="0.25">
      <c r="A19" s="4">
        <v>44140</v>
      </c>
      <c r="B19" s="7">
        <v>17</v>
      </c>
      <c r="C19" t="s">
        <v>84</v>
      </c>
      <c r="F19" t="s">
        <v>209</v>
      </c>
      <c r="G19">
        <v>20</v>
      </c>
      <c r="H19">
        <v>0</v>
      </c>
      <c r="I19">
        <v>1</v>
      </c>
      <c r="J19">
        <v>0.8</v>
      </c>
      <c r="K19">
        <v>27</v>
      </c>
      <c r="L19">
        <v>12</v>
      </c>
      <c r="M19">
        <v>317</v>
      </c>
      <c r="N19" s="14">
        <f t="shared" si="0"/>
        <v>1.2618296529968454</v>
      </c>
    </row>
    <row r="20" spans="1:14" x14ac:dyDescent="0.25">
      <c r="A20" s="4">
        <v>44616</v>
      </c>
      <c r="B20" s="8">
        <v>18</v>
      </c>
      <c r="C20" t="s">
        <v>85</v>
      </c>
      <c r="F20" t="s">
        <v>209</v>
      </c>
      <c r="G20">
        <v>21</v>
      </c>
      <c r="H20">
        <v>0</v>
      </c>
      <c r="I20">
        <v>1</v>
      </c>
      <c r="J20">
        <v>0.5</v>
      </c>
      <c r="K20">
        <v>28</v>
      </c>
      <c r="L20">
        <v>12</v>
      </c>
      <c r="M20">
        <v>390</v>
      </c>
      <c r="N20" s="14">
        <f t="shared" si="0"/>
        <v>1.0256410256410255</v>
      </c>
    </row>
    <row r="21" spans="1:14" x14ac:dyDescent="0.25">
      <c r="A21" s="4">
        <v>44803</v>
      </c>
      <c r="B21" s="7">
        <v>19</v>
      </c>
      <c r="C21" t="s">
        <v>86</v>
      </c>
      <c r="F21" t="s">
        <v>209</v>
      </c>
      <c r="G21">
        <v>22</v>
      </c>
      <c r="H21">
        <v>1</v>
      </c>
      <c r="I21">
        <v>1</v>
      </c>
      <c r="J21">
        <v>0.6</v>
      </c>
      <c r="K21">
        <v>25</v>
      </c>
      <c r="L21">
        <v>12</v>
      </c>
      <c r="M21">
        <v>333</v>
      </c>
      <c r="N21" s="14">
        <f t="shared" si="0"/>
        <v>1.2012012012012012</v>
      </c>
    </row>
    <row r="22" spans="1:14" x14ac:dyDescent="0.25">
      <c r="A22" s="4">
        <v>44770</v>
      </c>
      <c r="B22" s="8">
        <v>20</v>
      </c>
      <c r="C22" t="s">
        <v>87</v>
      </c>
      <c r="F22" t="s">
        <v>209</v>
      </c>
      <c r="G22">
        <v>26</v>
      </c>
      <c r="H22">
        <v>1</v>
      </c>
      <c r="I22">
        <v>1</v>
      </c>
      <c r="J22">
        <v>0.54</v>
      </c>
      <c r="K22">
        <v>27</v>
      </c>
      <c r="L22">
        <v>12</v>
      </c>
      <c r="M22">
        <v>346</v>
      </c>
      <c r="N22" s="14">
        <f t="shared" si="0"/>
        <v>1.1560693641618498</v>
      </c>
    </row>
    <row r="23" spans="1:14" x14ac:dyDescent="0.25">
      <c r="A23" s="4">
        <v>44743</v>
      </c>
      <c r="B23" s="7">
        <v>21</v>
      </c>
      <c r="C23" t="s">
        <v>88</v>
      </c>
      <c r="F23" t="s">
        <v>209</v>
      </c>
      <c r="G23">
        <v>20</v>
      </c>
      <c r="H23">
        <v>1</v>
      </c>
      <c r="I23" s="12">
        <v>2</v>
      </c>
      <c r="J23">
        <v>0.61</v>
      </c>
      <c r="K23">
        <v>29</v>
      </c>
      <c r="L23">
        <v>12</v>
      </c>
      <c r="M23">
        <v>270</v>
      </c>
      <c r="N23" s="14">
        <f t="shared" si="0"/>
        <v>1.4814814814814814</v>
      </c>
    </row>
    <row r="24" spans="1:14" x14ac:dyDescent="0.25">
      <c r="A24" s="4">
        <v>44735</v>
      </c>
      <c r="B24" s="8">
        <v>22</v>
      </c>
      <c r="C24" t="s">
        <v>89</v>
      </c>
      <c r="F24" t="s">
        <v>209</v>
      </c>
      <c r="G24">
        <v>24</v>
      </c>
      <c r="H24">
        <v>0</v>
      </c>
      <c r="I24">
        <v>1</v>
      </c>
      <c r="J24">
        <v>0.54</v>
      </c>
      <c r="M24">
        <v>303</v>
      </c>
      <c r="N24" s="14">
        <f t="shared" si="0"/>
        <v>1.3201320132013201</v>
      </c>
    </row>
    <row r="25" spans="1:14" x14ac:dyDescent="0.25">
      <c r="A25" s="4">
        <v>44740</v>
      </c>
      <c r="B25" s="7">
        <v>23</v>
      </c>
      <c r="C25" t="s">
        <v>90</v>
      </c>
      <c r="F25" t="s">
        <v>209</v>
      </c>
      <c r="G25">
        <v>22</v>
      </c>
      <c r="H25">
        <v>1</v>
      </c>
      <c r="I25">
        <v>1</v>
      </c>
      <c r="J25">
        <v>0.34</v>
      </c>
      <c r="K25" s="9"/>
      <c r="L25" s="9"/>
      <c r="M25" s="9"/>
      <c r="N25" s="14"/>
    </row>
    <row r="26" spans="1:14" x14ac:dyDescent="0.25">
      <c r="A26" s="4">
        <v>44865</v>
      </c>
      <c r="B26" s="8">
        <v>24</v>
      </c>
      <c r="C26" t="s">
        <v>91</v>
      </c>
      <c r="F26" t="s">
        <v>209</v>
      </c>
      <c r="G26">
        <v>24</v>
      </c>
      <c r="H26">
        <v>1</v>
      </c>
      <c r="I26" s="12">
        <v>2</v>
      </c>
      <c r="J26">
        <v>0.64</v>
      </c>
      <c r="K26" s="9"/>
      <c r="L26" s="9"/>
      <c r="M26" s="9">
        <v>331</v>
      </c>
      <c r="N26" s="14">
        <f t="shared" ref="N26:N39" si="1">400/M26</f>
        <v>1.2084592145015105</v>
      </c>
    </row>
    <row r="27" spans="1:14" x14ac:dyDescent="0.25">
      <c r="A27" s="4">
        <v>44837</v>
      </c>
      <c r="B27" s="7">
        <v>25</v>
      </c>
      <c r="C27" t="s">
        <v>92</v>
      </c>
      <c r="F27" t="s">
        <v>209</v>
      </c>
      <c r="G27">
        <v>26</v>
      </c>
      <c r="H27">
        <v>0</v>
      </c>
      <c r="I27">
        <v>1</v>
      </c>
      <c r="J27">
        <v>0.69</v>
      </c>
      <c r="K27" s="9"/>
      <c r="L27" s="9"/>
      <c r="M27" s="9">
        <v>311</v>
      </c>
      <c r="N27" s="14">
        <f t="shared" si="1"/>
        <v>1.2861736334405145</v>
      </c>
    </row>
    <row r="28" spans="1:14" x14ac:dyDescent="0.25">
      <c r="A28" s="4">
        <v>44852</v>
      </c>
      <c r="B28" s="8">
        <v>26</v>
      </c>
      <c r="C28" t="s">
        <v>93</v>
      </c>
      <c r="F28" t="s">
        <v>209</v>
      </c>
      <c r="G28">
        <v>26</v>
      </c>
      <c r="H28">
        <v>1</v>
      </c>
      <c r="I28">
        <v>1</v>
      </c>
      <c r="J28">
        <v>0.82</v>
      </c>
      <c r="K28" s="9"/>
      <c r="L28" s="9"/>
      <c r="M28" s="9">
        <v>288</v>
      </c>
      <c r="N28" s="14">
        <f t="shared" si="1"/>
        <v>1.3888888888888888</v>
      </c>
    </row>
    <row r="29" spans="1:14" x14ac:dyDescent="0.25">
      <c r="A29" s="4">
        <v>44858</v>
      </c>
      <c r="B29" s="7">
        <v>27</v>
      </c>
      <c r="C29" t="s">
        <v>94</v>
      </c>
      <c r="F29" t="s">
        <v>209</v>
      </c>
      <c r="G29">
        <v>30</v>
      </c>
      <c r="H29">
        <v>0</v>
      </c>
      <c r="I29">
        <v>1</v>
      </c>
      <c r="J29">
        <v>0.49</v>
      </c>
      <c r="K29" s="9"/>
      <c r="L29" s="9"/>
      <c r="M29" s="9">
        <v>291</v>
      </c>
      <c r="N29" s="14">
        <f t="shared" si="1"/>
        <v>1.3745704467353952</v>
      </c>
    </row>
    <row r="30" spans="1:14" x14ac:dyDescent="0.25">
      <c r="A30" s="4">
        <v>44846</v>
      </c>
      <c r="B30" s="8">
        <v>28</v>
      </c>
      <c r="C30" t="s">
        <v>95</v>
      </c>
      <c r="F30" t="s">
        <v>209</v>
      </c>
      <c r="G30">
        <v>28</v>
      </c>
      <c r="H30">
        <v>0</v>
      </c>
      <c r="I30">
        <v>1</v>
      </c>
      <c r="J30">
        <v>0.64</v>
      </c>
      <c r="K30" s="9"/>
      <c r="L30" s="9"/>
      <c r="M30" s="9">
        <f>349</f>
        <v>349</v>
      </c>
      <c r="N30" s="14">
        <f t="shared" si="1"/>
        <v>1.1461318051575931</v>
      </c>
    </row>
    <row r="31" spans="1:14" x14ac:dyDescent="0.25">
      <c r="A31" s="4">
        <v>44859</v>
      </c>
      <c r="B31" s="7">
        <v>29</v>
      </c>
      <c r="C31" t="s">
        <v>96</v>
      </c>
      <c r="F31" t="s">
        <v>209</v>
      </c>
      <c r="G31">
        <v>25</v>
      </c>
      <c r="H31">
        <v>1</v>
      </c>
      <c r="I31">
        <v>1</v>
      </c>
      <c r="J31">
        <v>0.61</v>
      </c>
      <c r="K31" s="9"/>
      <c r="L31" s="9"/>
      <c r="M31" s="9">
        <f>289</f>
        <v>289</v>
      </c>
      <c r="N31" s="14">
        <f t="shared" si="1"/>
        <v>1.3840830449826989</v>
      </c>
    </row>
    <row r="32" spans="1:14" x14ac:dyDescent="0.25">
      <c r="A32" s="4">
        <v>44866</v>
      </c>
      <c r="B32" s="7">
        <v>31</v>
      </c>
      <c r="C32" t="s">
        <v>98</v>
      </c>
      <c r="D32" t="s">
        <v>99</v>
      </c>
      <c r="E32" t="s">
        <v>99</v>
      </c>
      <c r="F32" t="s">
        <v>210</v>
      </c>
      <c r="G32">
        <v>20</v>
      </c>
      <c r="H32" t="s">
        <v>270</v>
      </c>
      <c r="I32">
        <v>1</v>
      </c>
      <c r="J32">
        <v>0.71</v>
      </c>
      <c r="K32" s="9"/>
      <c r="L32" s="9"/>
      <c r="M32" s="9">
        <v>298</v>
      </c>
      <c r="N32" s="14">
        <f t="shared" si="1"/>
        <v>1.3422818791946309</v>
      </c>
    </row>
    <row r="33" spans="1:14" x14ac:dyDescent="0.25">
      <c r="A33" s="4">
        <v>44887</v>
      </c>
      <c r="B33" s="8">
        <v>30</v>
      </c>
      <c r="C33" t="s">
        <v>97</v>
      </c>
      <c r="F33" t="s">
        <v>209</v>
      </c>
      <c r="G33">
        <v>35</v>
      </c>
      <c r="H33">
        <v>1</v>
      </c>
      <c r="I33">
        <v>1</v>
      </c>
      <c r="J33">
        <v>0.77</v>
      </c>
      <c r="K33" s="9"/>
      <c r="L33" s="9"/>
      <c r="M33" s="9">
        <v>271</v>
      </c>
      <c r="N33" s="14">
        <f t="shared" si="1"/>
        <v>1.4760147601476015</v>
      </c>
    </row>
    <row r="34" spans="1:14" x14ac:dyDescent="0.25">
      <c r="A34" s="4">
        <v>44894</v>
      </c>
      <c r="B34" s="7">
        <v>33</v>
      </c>
      <c r="C34" t="s">
        <v>101</v>
      </c>
      <c r="D34" t="s">
        <v>102</v>
      </c>
      <c r="E34" t="s">
        <v>102</v>
      </c>
      <c r="F34" t="s">
        <v>210</v>
      </c>
      <c r="G34">
        <v>27</v>
      </c>
      <c r="H34" t="s">
        <v>270</v>
      </c>
      <c r="I34">
        <v>1</v>
      </c>
      <c r="J34">
        <v>0.59</v>
      </c>
      <c r="K34" s="9"/>
      <c r="L34" s="9"/>
      <c r="M34" s="9">
        <f>5*60+41</f>
        <v>341</v>
      </c>
      <c r="N34" s="14">
        <f t="shared" si="1"/>
        <v>1.1730205278592376</v>
      </c>
    </row>
    <row r="35" spans="1:14" x14ac:dyDescent="0.25">
      <c r="A35" s="4">
        <v>44880</v>
      </c>
      <c r="B35" s="8">
        <v>32</v>
      </c>
      <c r="C35" t="s">
        <v>100</v>
      </c>
      <c r="F35" t="s">
        <v>209</v>
      </c>
      <c r="G35">
        <v>28</v>
      </c>
      <c r="H35">
        <v>0</v>
      </c>
      <c r="I35" s="12">
        <v>2</v>
      </c>
      <c r="J35">
        <v>0.63</v>
      </c>
      <c r="K35" s="9"/>
      <c r="L35" s="9"/>
      <c r="M35" s="9">
        <v>339</v>
      </c>
      <c r="N35" s="14">
        <f t="shared" si="1"/>
        <v>1.1799410029498525</v>
      </c>
    </row>
    <row r="36" spans="1:14" x14ac:dyDescent="0.25">
      <c r="A36" s="4">
        <v>44901</v>
      </c>
      <c r="B36" s="8">
        <v>34</v>
      </c>
      <c r="C36" t="s">
        <v>103</v>
      </c>
      <c r="F36" t="s">
        <v>209</v>
      </c>
      <c r="G36">
        <v>27</v>
      </c>
      <c r="H36">
        <v>0</v>
      </c>
      <c r="I36">
        <v>1</v>
      </c>
      <c r="J36">
        <v>0.77</v>
      </c>
      <c r="K36" s="9"/>
      <c r="L36" s="9"/>
      <c r="M36" s="9">
        <f>275</f>
        <v>275</v>
      </c>
      <c r="N36" s="14">
        <f t="shared" si="1"/>
        <v>1.4545454545454546</v>
      </c>
    </row>
    <row r="37" spans="1:14" x14ac:dyDescent="0.25">
      <c r="A37" s="4">
        <v>44897</v>
      </c>
      <c r="B37" s="7">
        <v>35</v>
      </c>
      <c r="C37" t="s">
        <v>104</v>
      </c>
      <c r="F37" t="s">
        <v>209</v>
      </c>
      <c r="G37">
        <v>20</v>
      </c>
      <c r="H37">
        <v>1</v>
      </c>
      <c r="I37">
        <v>1</v>
      </c>
      <c r="J37">
        <v>0.7</v>
      </c>
      <c r="K37" s="9"/>
      <c r="L37" s="9"/>
      <c r="M37" s="9">
        <f>4*60+45</f>
        <v>285</v>
      </c>
      <c r="N37" s="14">
        <f t="shared" si="1"/>
        <v>1.4035087719298245</v>
      </c>
    </row>
    <row r="38" spans="1:14" x14ac:dyDescent="0.25">
      <c r="A38" s="4">
        <v>43781</v>
      </c>
      <c r="B38" s="8">
        <v>36</v>
      </c>
      <c r="C38" t="s">
        <v>105</v>
      </c>
      <c r="F38" t="s">
        <v>209</v>
      </c>
      <c r="G38">
        <v>81</v>
      </c>
      <c r="H38">
        <v>0</v>
      </c>
      <c r="I38">
        <v>1</v>
      </c>
      <c r="J38">
        <v>0.75</v>
      </c>
      <c r="K38">
        <v>28</v>
      </c>
      <c r="L38">
        <v>11</v>
      </c>
      <c r="M38">
        <v>363</v>
      </c>
      <c r="N38" s="14">
        <f t="shared" si="1"/>
        <v>1.1019283746556474</v>
      </c>
    </row>
    <row r="39" spans="1:14" x14ac:dyDescent="0.25">
      <c r="A39" s="4">
        <v>43853</v>
      </c>
      <c r="B39" s="7">
        <v>37</v>
      </c>
      <c r="C39" t="s">
        <v>107</v>
      </c>
      <c r="D39" t="s">
        <v>108</v>
      </c>
      <c r="E39" t="s">
        <v>268</v>
      </c>
      <c r="F39" t="s">
        <v>209</v>
      </c>
      <c r="G39">
        <v>78</v>
      </c>
      <c r="H39">
        <v>1</v>
      </c>
      <c r="I39">
        <v>1</v>
      </c>
      <c r="J39">
        <v>0.69</v>
      </c>
      <c r="K39">
        <v>27</v>
      </c>
      <c r="L39">
        <v>10</v>
      </c>
      <c r="M39">
        <v>400</v>
      </c>
      <c r="N39" s="14">
        <f t="shared" si="1"/>
        <v>1</v>
      </c>
    </row>
    <row r="40" spans="1:14" x14ac:dyDescent="0.25">
      <c r="A40" s="4">
        <v>43724</v>
      </c>
      <c r="B40" s="7">
        <v>39</v>
      </c>
      <c r="C40" t="s">
        <v>110</v>
      </c>
      <c r="D40" t="s">
        <v>111</v>
      </c>
      <c r="E40" t="s">
        <v>111</v>
      </c>
      <c r="F40" t="s">
        <v>210</v>
      </c>
      <c r="G40" s="9" t="s">
        <v>276</v>
      </c>
      <c r="H40" s="9" t="s">
        <v>276</v>
      </c>
      <c r="I40" s="9" t="s">
        <v>276</v>
      </c>
      <c r="J40">
        <v>0.69</v>
      </c>
      <c r="K40" s="9" t="s">
        <v>276</v>
      </c>
      <c r="L40">
        <v>12</v>
      </c>
      <c r="M40" s="9" t="s">
        <v>276</v>
      </c>
      <c r="N40" s="9" t="s">
        <v>276</v>
      </c>
    </row>
    <row r="41" spans="1:14" x14ac:dyDescent="0.25">
      <c r="A41" s="4">
        <v>43852</v>
      </c>
      <c r="B41" s="8">
        <v>38</v>
      </c>
      <c r="C41" t="s">
        <v>109</v>
      </c>
      <c r="F41" t="s">
        <v>209</v>
      </c>
      <c r="G41">
        <v>84</v>
      </c>
      <c r="H41">
        <v>1</v>
      </c>
      <c r="I41">
        <v>1</v>
      </c>
      <c r="J41">
        <v>0.32</v>
      </c>
      <c r="K41">
        <v>27</v>
      </c>
      <c r="L41">
        <v>10</v>
      </c>
      <c r="M41">
        <v>333</v>
      </c>
      <c r="N41" s="14">
        <f t="shared" ref="N41:N72" si="2">400/M41</f>
        <v>1.2012012012012012</v>
      </c>
    </row>
    <row r="42" spans="1:14" x14ac:dyDescent="0.25">
      <c r="A42" s="4">
        <v>43754</v>
      </c>
      <c r="B42" s="8">
        <v>40</v>
      </c>
      <c r="C42" t="s">
        <v>263</v>
      </c>
      <c r="D42" s="5" t="s">
        <v>261</v>
      </c>
      <c r="E42" s="5"/>
      <c r="F42" t="s">
        <v>209</v>
      </c>
      <c r="G42">
        <v>74</v>
      </c>
      <c r="H42">
        <v>1</v>
      </c>
      <c r="I42">
        <v>1</v>
      </c>
      <c r="J42">
        <v>0.94</v>
      </c>
      <c r="K42">
        <v>29</v>
      </c>
      <c r="L42">
        <v>12</v>
      </c>
      <c r="M42">
        <v>293</v>
      </c>
      <c r="N42" s="14">
        <f t="shared" si="2"/>
        <v>1.3651877133105803</v>
      </c>
    </row>
    <row r="43" spans="1:14" x14ac:dyDescent="0.25">
      <c r="A43" s="4">
        <v>43812</v>
      </c>
      <c r="B43" s="7">
        <v>41</v>
      </c>
      <c r="C43" t="s">
        <v>112</v>
      </c>
      <c r="F43" t="s">
        <v>209</v>
      </c>
      <c r="G43">
        <v>72</v>
      </c>
      <c r="H43">
        <v>0</v>
      </c>
      <c r="I43">
        <v>1</v>
      </c>
      <c r="J43">
        <v>0.65</v>
      </c>
      <c r="K43">
        <v>29</v>
      </c>
      <c r="L43">
        <v>11</v>
      </c>
      <c r="M43">
        <v>514</v>
      </c>
      <c r="N43" s="14">
        <f t="shared" si="2"/>
        <v>0.77821011673151752</v>
      </c>
    </row>
    <row r="44" spans="1:14" x14ac:dyDescent="0.25">
      <c r="A44" s="4">
        <v>43735</v>
      </c>
      <c r="B44" s="8">
        <v>42</v>
      </c>
      <c r="C44" t="s">
        <v>113</v>
      </c>
      <c r="F44" t="s">
        <v>209</v>
      </c>
      <c r="G44">
        <v>73</v>
      </c>
      <c r="H44">
        <v>0</v>
      </c>
      <c r="I44">
        <v>1</v>
      </c>
      <c r="J44">
        <v>0.4</v>
      </c>
      <c r="K44">
        <v>26</v>
      </c>
      <c r="L44">
        <v>12</v>
      </c>
      <c r="M44">
        <v>296</v>
      </c>
      <c r="N44" s="14">
        <f t="shared" si="2"/>
        <v>1.3513513513513513</v>
      </c>
    </row>
    <row r="45" spans="1:14" x14ac:dyDescent="0.25">
      <c r="A45" s="4">
        <v>43749</v>
      </c>
      <c r="B45" s="7">
        <v>43</v>
      </c>
      <c r="C45" t="s">
        <v>114</v>
      </c>
      <c r="F45" t="s">
        <v>209</v>
      </c>
      <c r="G45">
        <v>74</v>
      </c>
      <c r="H45">
        <v>0</v>
      </c>
      <c r="I45">
        <v>1</v>
      </c>
      <c r="J45">
        <v>0.59</v>
      </c>
      <c r="K45">
        <v>27</v>
      </c>
      <c r="L45">
        <v>11</v>
      </c>
      <c r="M45">
        <v>429</v>
      </c>
      <c r="N45" s="14">
        <f t="shared" si="2"/>
        <v>0.93240093240093236</v>
      </c>
    </row>
    <row r="46" spans="1:14" x14ac:dyDescent="0.25">
      <c r="A46" s="4">
        <v>43760</v>
      </c>
      <c r="B46" s="8">
        <v>44</v>
      </c>
      <c r="C46" t="s">
        <v>264</v>
      </c>
      <c r="D46" s="5" t="s">
        <v>261</v>
      </c>
      <c r="E46" s="5"/>
      <c r="F46" t="s">
        <v>209</v>
      </c>
      <c r="G46">
        <v>77</v>
      </c>
      <c r="H46">
        <v>1</v>
      </c>
      <c r="I46">
        <v>1</v>
      </c>
      <c r="J46">
        <v>0.45</v>
      </c>
      <c r="K46">
        <v>27</v>
      </c>
      <c r="L46">
        <v>11</v>
      </c>
      <c r="M46">
        <v>239</v>
      </c>
      <c r="N46" s="14">
        <f t="shared" si="2"/>
        <v>1.6736401673640167</v>
      </c>
    </row>
    <row r="47" spans="1:14" x14ac:dyDescent="0.25">
      <c r="A47" s="4">
        <v>43782</v>
      </c>
      <c r="B47" s="7">
        <v>45</v>
      </c>
      <c r="C47" t="s">
        <v>115</v>
      </c>
      <c r="F47" t="s">
        <v>209</v>
      </c>
      <c r="G47">
        <v>76</v>
      </c>
      <c r="H47">
        <v>1</v>
      </c>
      <c r="I47">
        <v>1</v>
      </c>
      <c r="J47">
        <v>0.75</v>
      </c>
      <c r="K47">
        <v>27</v>
      </c>
      <c r="L47">
        <v>12</v>
      </c>
      <c r="M47">
        <v>363</v>
      </c>
      <c r="N47" s="14">
        <f t="shared" si="2"/>
        <v>1.1019283746556474</v>
      </c>
    </row>
    <row r="48" spans="1:14" x14ac:dyDescent="0.25">
      <c r="A48" s="4">
        <v>43761</v>
      </c>
      <c r="B48" s="8">
        <v>46</v>
      </c>
      <c r="C48" t="s">
        <v>116</v>
      </c>
      <c r="F48" t="s">
        <v>209</v>
      </c>
      <c r="G48">
        <v>71</v>
      </c>
      <c r="H48">
        <v>1</v>
      </c>
      <c r="I48">
        <v>1</v>
      </c>
      <c r="J48">
        <v>0.42</v>
      </c>
      <c r="K48">
        <v>28</v>
      </c>
      <c r="L48">
        <v>12</v>
      </c>
      <c r="M48">
        <v>321</v>
      </c>
      <c r="N48" s="14">
        <f t="shared" si="2"/>
        <v>1.2461059190031152</v>
      </c>
    </row>
    <row r="49" spans="1:14" x14ac:dyDescent="0.25">
      <c r="A49" s="4">
        <v>43775</v>
      </c>
      <c r="B49" s="7">
        <v>47</v>
      </c>
      <c r="C49" t="s">
        <v>117</v>
      </c>
      <c r="F49" t="s">
        <v>209</v>
      </c>
      <c r="G49">
        <v>77</v>
      </c>
      <c r="H49">
        <v>1</v>
      </c>
      <c r="I49">
        <v>1</v>
      </c>
      <c r="J49">
        <v>0.75</v>
      </c>
      <c r="K49">
        <v>29</v>
      </c>
      <c r="L49">
        <v>12</v>
      </c>
      <c r="M49">
        <v>317</v>
      </c>
      <c r="N49" s="14">
        <f t="shared" si="2"/>
        <v>1.2618296529968454</v>
      </c>
    </row>
    <row r="50" spans="1:14" x14ac:dyDescent="0.25">
      <c r="A50" s="4">
        <v>43788</v>
      </c>
      <c r="B50" s="8">
        <v>48</v>
      </c>
      <c r="C50" t="s">
        <v>118</v>
      </c>
      <c r="F50" t="s">
        <v>209</v>
      </c>
      <c r="G50">
        <v>82</v>
      </c>
      <c r="H50">
        <v>1</v>
      </c>
      <c r="I50">
        <v>1</v>
      </c>
      <c r="J50">
        <v>0.72</v>
      </c>
      <c r="K50">
        <v>30</v>
      </c>
      <c r="L50">
        <v>10</v>
      </c>
      <c r="M50">
        <v>316</v>
      </c>
      <c r="N50" s="14">
        <f t="shared" si="2"/>
        <v>1.2658227848101267</v>
      </c>
    </row>
    <row r="51" spans="1:14" x14ac:dyDescent="0.25">
      <c r="A51" s="4">
        <v>43774</v>
      </c>
      <c r="B51" s="7">
        <v>49</v>
      </c>
      <c r="C51" t="s">
        <v>119</v>
      </c>
      <c r="F51" t="s">
        <v>209</v>
      </c>
      <c r="G51">
        <v>79</v>
      </c>
      <c r="H51">
        <v>1</v>
      </c>
      <c r="I51">
        <v>1</v>
      </c>
      <c r="J51">
        <v>0.41</v>
      </c>
      <c r="K51">
        <v>25</v>
      </c>
      <c r="L51">
        <v>11</v>
      </c>
      <c r="M51">
        <v>465</v>
      </c>
      <c r="N51" s="14">
        <f t="shared" si="2"/>
        <v>0.86021505376344087</v>
      </c>
    </row>
    <row r="52" spans="1:14" x14ac:dyDescent="0.25">
      <c r="A52" s="4">
        <v>43789</v>
      </c>
      <c r="B52" s="8">
        <v>50</v>
      </c>
      <c r="C52" t="s">
        <v>120</v>
      </c>
      <c r="F52" t="s">
        <v>209</v>
      </c>
      <c r="G52">
        <v>75</v>
      </c>
      <c r="H52">
        <v>0</v>
      </c>
      <c r="I52">
        <v>2</v>
      </c>
      <c r="J52">
        <v>0.5</v>
      </c>
      <c r="K52">
        <v>27</v>
      </c>
      <c r="L52">
        <v>10</v>
      </c>
      <c r="M52">
        <v>476</v>
      </c>
      <c r="N52" s="14">
        <f t="shared" si="2"/>
        <v>0.84033613445378152</v>
      </c>
    </row>
    <row r="53" spans="1:14" x14ac:dyDescent="0.25">
      <c r="A53" s="4">
        <v>43838</v>
      </c>
      <c r="B53" s="7">
        <v>51</v>
      </c>
      <c r="C53" t="s">
        <v>121</v>
      </c>
      <c r="F53" t="s">
        <v>209</v>
      </c>
      <c r="G53">
        <v>81</v>
      </c>
      <c r="H53">
        <v>1</v>
      </c>
      <c r="I53">
        <v>2</v>
      </c>
      <c r="J53">
        <v>0.83</v>
      </c>
      <c r="K53">
        <v>27</v>
      </c>
      <c r="L53">
        <v>9</v>
      </c>
      <c r="M53">
        <v>292</v>
      </c>
      <c r="N53" s="14">
        <f t="shared" si="2"/>
        <v>1.3698630136986301</v>
      </c>
    </row>
    <row r="54" spans="1:14" x14ac:dyDescent="0.25">
      <c r="A54" s="4">
        <v>43874</v>
      </c>
      <c r="B54" s="8">
        <v>52</v>
      </c>
      <c r="C54" t="s">
        <v>122</v>
      </c>
      <c r="D54" t="s">
        <v>123</v>
      </c>
      <c r="E54" t="s">
        <v>123</v>
      </c>
      <c r="F54" t="s">
        <v>209</v>
      </c>
      <c r="G54">
        <v>73</v>
      </c>
      <c r="H54">
        <v>1</v>
      </c>
      <c r="I54">
        <v>1</v>
      </c>
      <c r="J54">
        <v>0.62</v>
      </c>
      <c r="K54">
        <v>27</v>
      </c>
      <c r="L54">
        <v>11</v>
      </c>
      <c r="M54">
        <v>332</v>
      </c>
      <c r="N54" s="14">
        <f t="shared" si="2"/>
        <v>1.2048192771084338</v>
      </c>
    </row>
    <row r="55" spans="1:14" x14ac:dyDescent="0.25">
      <c r="A55" s="4">
        <v>43895</v>
      </c>
      <c r="B55" s="8">
        <v>54</v>
      </c>
      <c r="C55" t="s">
        <v>125</v>
      </c>
      <c r="D55" t="s">
        <v>111</v>
      </c>
      <c r="E55" t="s">
        <v>111</v>
      </c>
      <c r="F55" t="s">
        <v>210</v>
      </c>
      <c r="G55">
        <v>73</v>
      </c>
      <c r="H55">
        <v>1</v>
      </c>
      <c r="I55">
        <v>1</v>
      </c>
      <c r="J55">
        <v>0.68</v>
      </c>
      <c r="K55">
        <v>26</v>
      </c>
      <c r="L55">
        <v>10</v>
      </c>
      <c r="M55">
        <v>313</v>
      </c>
      <c r="N55" s="14">
        <f t="shared" si="2"/>
        <v>1.2779552715654952</v>
      </c>
    </row>
    <row r="56" spans="1:14" x14ac:dyDescent="0.25">
      <c r="A56" s="4">
        <v>43871</v>
      </c>
      <c r="B56" s="7">
        <v>53</v>
      </c>
      <c r="C56" t="s">
        <v>124</v>
      </c>
      <c r="F56" t="s">
        <v>209</v>
      </c>
      <c r="G56">
        <v>72</v>
      </c>
      <c r="H56">
        <v>0</v>
      </c>
      <c r="I56">
        <v>1</v>
      </c>
      <c r="J56">
        <v>0.71</v>
      </c>
      <c r="K56">
        <v>29</v>
      </c>
      <c r="L56">
        <v>10</v>
      </c>
      <c r="M56">
        <v>362</v>
      </c>
      <c r="N56" s="14">
        <f t="shared" si="2"/>
        <v>1.1049723756906078</v>
      </c>
    </row>
    <row r="57" spans="1:14" x14ac:dyDescent="0.25">
      <c r="A57" s="4">
        <v>44078</v>
      </c>
      <c r="B57" s="7">
        <v>55</v>
      </c>
      <c r="C57" t="s">
        <v>126</v>
      </c>
      <c r="F57" t="s">
        <v>209</v>
      </c>
      <c r="G57">
        <v>73</v>
      </c>
      <c r="H57">
        <v>0</v>
      </c>
      <c r="I57">
        <v>1</v>
      </c>
      <c r="J57">
        <v>0.53</v>
      </c>
      <c r="K57">
        <v>25</v>
      </c>
      <c r="L57">
        <v>12</v>
      </c>
      <c r="M57">
        <v>385</v>
      </c>
      <c r="N57" s="14">
        <f t="shared" si="2"/>
        <v>1.0389610389610389</v>
      </c>
    </row>
    <row r="58" spans="1:14" x14ac:dyDescent="0.25">
      <c r="A58" s="4">
        <v>44089</v>
      </c>
      <c r="B58" s="8">
        <v>56</v>
      </c>
      <c r="C58" t="s">
        <v>127</v>
      </c>
      <c r="F58" t="s">
        <v>209</v>
      </c>
      <c r="G58">
        <v>73</v>
      </c>
      <c r="H58">
        <v>1</v>
      </c>
      <c r="I58">
        <v>3</v>
      </c>
      <c r="J58">
        <v>0.65</v>
      </c>
      <c r="K58">
        <v>26</v>
      </c>
      <c r="L58">
        <v>12</v>
      </c>
      <c r="M58">
        <v>365</v>
      </c>
      <c r="N58" s="14">
        <f t="shared" si="2"/>
        <v>1.095890410958904</v>
      </c>
    </row>
    <row r="59" spans="1:14" x14ac:dyDescent="0.25">
      <c r="A59" s="4">
        <v>44102</v>
      </c>
      <c r="B59" s="8">
        <v>58</v>
      </c>
      <c r="C59" t="s">
        <v>129</v>
      </c>
      <c r="D59" t="s">
        <v>111</v>
      </c>
      <c r="E59" t="s">
        <v>111</v>
      </c>
      <c r="F59" t="s">
        <v>210</v>
      </c>
      <c r="G59">
        <v>72</v>
      </c>
      <c r="H59">
        <v>1</v>
      </c>
      <c r="I59">
        <v>1</v>
      </c>
      <c r="J59">
        <v>0.62</v>
      </c>
      <c r="K59">
        <v>28</v>
      </c>
      <c r="L59">
        <v>12</v>
      </c>
      <c r="M59">
        <f>7*60+45</f>
        <v>465</v>
      </c>
      <c r="N59" s="14">
        <f t="shared" si="2"/>
        <v>0.86021505376344087</v>
      </c>
    </row>
    <row r="60" spans="1:14" x14ac:dyDescent="0.25">
      <c r="A60" s="4">
        <v>43903</v>
      </c>
      <c r="B60" s="7">
        <v>57</v>
      </c>
      <c r="C60" t="s">
        <v>128</v>
      </c>
      <c r="F60" t="s">
        <v>209</v>
      </c>
      <c r="G60">
        <v>75</v>
      </c>
      <c r="H60">
        <v>0</v>
      </c>
      <c r="I60">
        <v>1</v>
      </c>
      <c r="J60">
        <v>0.46</v>
      </c>
      <c r="K60">
        <v>26</v>
      </c>
      <c r="L60">
        <v>11</v>
      </c>
      <c r="M60">
        <v>357</v>
      </c>
      <c r="N60" s="14">
        <f t="shared" si="2"/>
        <v>1.1204481792717087</v>
      </c>
    </row>
    <row r="61" spans="1:14" x14ac:dyDescent="0.25">
      <c r="A61" s="4">
        <v>44096</v>
      </c>
      <c r="B61" s="7">
        <v>59</v>
      </c>
      <c r="C61" t="s">
        <v>130</v>
      </c>
      <c r="F61" t="s">
        <v>209</v>
      </c>
      <c r="G61">
        <v>74</v>
      </c>
      <c r="H61">
        <v>1</v>
      </c>
      <c r="I61">
        <v>1</v>
      </c>
      <c r="J61">
        <v>0.81</v>
      </c>
      <c r="K61">
        <v>28</v>
      </c>
      <c r="L61">
        <v>10</v>
      </c>
      <c r="M61">
        <v>313</v>
      </c>
      <c r="N61" s="14">
        <f t="shared" si="2"/>
        <v>1.2779552715654952</v>
      </c>
    </row>
    <row r="62" spans="1:14" x14ac:dyDescent="0.25">
      <c r="A62" s="4">
        <v>44117</v>
      </c>
      <c r="B62" s="8">
        <v>60</v>
      </c>
      <c r="C62" t="s">
        <v>131</v>
      </c>
      <c r="F62" t="s">
        <v>209</v>
      </c>
      <c r="G62">
        <v>71</v>
      </c>
      <c r="H62">
        <v>0</v>
      </c>
      <c r="I62">
        <v>1</v>
      </c>
      <c r="J62">
        <v>0.67</v>
      </c>
      <c r="K62">
        <v>27</v>
      </c>
      <c r="L62">
        <v>12</v>
      </c>
      <c r="M62">
        <v>309</v>
      </c>
      <c r="N62" s="14">
        <f t="shared" si="2"/>
        <v>1.2944983818770226</v>
      </c>
    </row>
    <row r="63" spans="1:14" x14ac:dyDescent="0.25">
      <c r="A63" s="4">
        <v>44406</v>
      </c>
      <c r="B63" s="7">
        <v>61</v>
      </c>
      <c r="C63" t="s">
        <v>132</v>
      </c>
      <c r="F63" t="s">
        <v>209</v>
      </c>
      <c r="G63">
        <v>65</v>
      </c>
      <c r="H63">
        <v>1</v>
      </c>
      <c r="I63">
        <v>1</v>
      </c>
      <c r="J63">
        <v>0.32</v>
      </c>
      <c r="K63">
        <v>30</v>
      </c>
      <c r="L63">
        <v>10</v>
      </c>
      <c r="M63">
        <v>455</v>
      </c>
      <c r="N63" s="14">
        <f t="shared" si="2"/>
        <v>0.87912087912087911</v>
      </c>
    </row>
    <row r="64" spans="1:14" x14ac:dyDescent="0.25">
      <c r="A64" s="4">
        <v>44530</v>
      </c>
      <c r="B64" s="7">
        <v>63</v>
      </c>
      <c r="C64" t="s">
        <v>134</v>
      </c>
      <c r="D64" t="s">
        <v>111</v>
      </c>
      <c r="E64" t="s">
        <v>111</v>
      </c>
      <c r="F64" t="s">
        <v>208</v>
      </c>
      <c r="G64">
        <v>65</v>
      </c>
      <c r="H64">
        <v>0</v>
      </c>
      <c r="I64">
        <v>1</v>
      </c>
      <c r="J64">
        <v>0.3</v>
      </c>
      <c r="K64">
        <v>27</v>
      </c>
      <c r="L64">
        <v>11</v>
      </c>
      <c r="M64">
        <v>335</v>
      </c>
      <c r="N64" s="14">
        <f t="shared" si="2"/>
        <v>1.1940298507462686</v>
      </c>
    </row>
    <row r="65" spans="1:14" x14ac:dyDescent="0.25">
      <c r="A65" s="4">
        <v>44390</v>
      </c>
      <c r="B65" s="8">
        <v>62</v>
      </c>
      <c r="C65" t="s">
        <v>133</v>
      </c>
      <c r="F65" t="s">
        <v>209</v>
      </c>
      <c r="G65">
        <v>76</v>
      </c>
      <c r="H65">
        <v>1</v>
      </c>
      <c r="I65">
        <v>1</v>
      </c>
      <c r="J65">
        <v>0.28000000000000003</v>
      </c>
      <c r="K65">
        <v>26</v>
      </c>
      <c r="L65">
        <v>11</v>
      </c>
      <c r="M65">
        <v>374</v>
      </c>
      <c r="N65" s="14">
        <f t="shared" si="2"/>
        <v>1.0695187165775402</v>
      </c>
    </row>
    <row r="66" spans="1:14" x14ac:dyDescent="0.25">
      <c r="A66" s="4">
        <v>44698</v>
      </c>
      <c r="B66" s="7">
        <v>65</v>
      </c>
      <c r="C66" t="s">
        <v>136</v>
      </c>
      <c r="F66" t="s">
        <v>209</v>
      </c>
      <c r="G66">
        <v>67</v>
      </c>
      <c r="H66">
        <v>0</v>
      </c>
      <c r="I66">
        <v>1</v>
      </c>
      <c r="J66">
        <v>0.2</v>
      </c>
      <c r="K66">
        <v>28</v>
      </c>
      <c r="L66">
        <v>12</v>
      </c>
      <c r="M66">
        <f>353</f>
        <v>353</v>
      </c>
      <c r="N66" s="14">
        <f t="shared" si="2"/>
        <v>1.1331444759206799</v>
      </c>
    </row>
    <row r="67" spans="1:14" x14ac:dyDescent="0.25">
      <c r="A67" s="4">
        <v>44679</v>
      </c>
      <c r="B67" s="8">
        <v>66</v>
      </c>
      <c r="C67" t="s">
        <v>137</v>
      </c>
      <c r="F67" t="s">
        <v>209</v>
      </c>
      <c r="G67">
        <v>66</v>
      </c>
      <c r="H67">
        <v>0</v>
      </c>
      <c r="I67">
        <v>1</v>
      </c>
      <c r="J67">
        <v>0.44</v>
      </c>
      <c r="K67">
        <v>27</v>
      </c>
      <c r="L67">
        <v>12</v>
      </c>
      <c r="M67">
        <v>358</v>
      </c>
      <c r="N67" s="14">
        <f t="shared" si="2"/>
        <v>1.1173184357541899</v>
      </c>
    </row>
    <row r="68" spans="1:14" x14ac:dyDescent="0.25">
      <c r="A68" s="4">
        <v>44872</v>
      </c>
      <c r="B68" s="7">
        <v>67</v>
      </c>
      <c r="C68" t="s">
        <v>138</v>
      </c>
      <c r="F68" t="s">
        <v>209</v>
      </c>
      <c r="G68">
        <v>69</v>
      </c>
      <c r="H68">
        <v>0</v>
      </c>
      <c r="I68">
        <v>1</v>
      </c>
      <c r="J68">
        <v>0.3</v>
      </c>
      <c r="K68">
        <v>26</v>
      </c>
      <c r="L68">
        <v>11</v>
      </c>
      <c r="M68">
        <v>349</v>
      </c>
      <c r="N68" s="14">
        <f t="shared" si="2"/>
        <v>1.1461318051575931</v>
      </c>
    </row>
    <row r="69" spans="1:14" x14ac:dyDescent="0.25">
      <c r="A69" s="4">
        <v>44818</v>
      </c>
      <c r="B69" s="8">
        <v>68</v>
      </c>
      <c r="C69" t="s">
        <v>139</v>
      </c>
      <c r="D69" s="5" t="s">
        <v>261</v>
      </c>
      <c r="E69" s="5"/>
      <c r="F69" t="s">
        <v>209</v>
      </c>
      <c r="G69">
        <v>64</v>
      </c>
      <c r="H69">
        <v>0</v>
      </c>
      <c r="I69">
        <v>1</v>
      </c>
      <c r="J69">
        <v>0.34</v>
      </c>
      <c r="K69">
        <v>24</v>
      </c>
      <c r="L69">
        <v>11</v>
      </c>
      <c r="M69">
        <v>368</v>
      </c>
      <c r="N69" s="14">
        <f t="shared" si="2"/>
        <v>1.0869565217391304</v>
      </c>
    </row>
    <row r="70" spans="1:14" x14ac:dyDescent="0.25">
      <c r="A70" s="4">
        <v>44886</v>
      </c>
      <c r="B70" s="7">
        <v>69</v>
      </c>
      <c r="C70" t="s">
        <v>140</v>
      </c>
      <c r="D70" t="s">
        <v>111</v>
      </c>
      <c r="E70" t="s">
        <v>111</v>
      </c>
      <c r="F70" t="s">
        <v>208</v>
      </c>
      <c r="G70">
        <v>81</v>
      </c>
      <c r="H70">
        <v>1</v>
      </c>
      <c r="I70">
        <v>1</v>
      </c>
      <c r="J70">
        <v>0.5</v>
      </c>
      <c r="K70">
        <v>27</v>
      </c>
      <c r="L70">
        <v>8</v>
      </c>
      <c r="M70">
        <v>386</v>
      </c>
      <c r="N70" s="14">
        <f t="shared" si="2"/>
        <v>1.0362694300518134</v>
      </c>
    </row>
    <row r="71" spans="1:14" x14ac:dyDescent="0.25">
      <c r="A71" s="4">
        <v>44586</v>
      </c>
      <c r="B71" s="8">
        <v>70</v>
      </c>
      <c r="C71" t="s">
        <v>141</v>
      </c>
      <c r="D71" t="s">
        <v>142</v>
      </c>
      <c r="E71" t="s">
        <v>142</v>
      </c>
      <c r="F71" t="s">
        <v>208</v>
      </c>
      <c r="G71">
        <v>84</v>
      </c>
      <c r="H71">
        <v>0</v>
      </c>
      <c r="I71">
        <v>1</v>
      </c>
      <c r="J71">
        <v>0.05</v>
      </c>
      <c r="K71">
        <v>25</v>
      </c>
      <c r="L71">
        <v>6</v>
      </c>
      <c r="M71">
        <f>12*60+11</f>
        <v>731</v>
      </c>
      <c r="N71" s="14">
        <f t="shared" si="2"/>
        <v>0.54719562243502051</v>
      </c>
    </row>
    <row r="72" spans="1:14" x14ac:dyDescent="0.25">
      <c r="A72" s="4">
        <v>44299</v>
      </c>
      <c r="B72" s="7">
        <v>71</v>
      </c>
      <c r="C72" t="s">
        <v>143</v>
      </c>
      <c r="F72" t="s">
        <v>209</v>
      </c>
      <c r="G72">
        <v>83</v>
      </c>
      <c r="H72">
        <v>1</v>
      </c>
      <c r="I72">
        <v>1</v>
      </c>
      <c r="J72">
        <v>0.25</v>
      </c>
      <c r="K72">
        <v>28</v>
      </c>
      <c r="L72">
        <v>9</v>
      </c>
      <c r="M72">
        <v>402</v>
      </c>
      <c r="N72" s="14">
        <f t="shared" si="2"/>
        <v>0.99502487562189057</v>
      </c>
    </row>
    <row r="73" spans="1:14" x14ac:dyDescent="0.25">
      <c r="A73" s="4">
        <v>44343</v>
      </c>
      <c r="B73" s="8">
        <v>72</v>
      </c>
      <c r="C73" t="s">
        <v>144</v>
      </c>
      <c r="D73" t="s">
        <v>108</v>
      </c>
      <c r="E73" t="s">
        <v>268</v>
      </c>
      <c r="F73" t="s">
        <v>209</v>
      </c>
      <c r="G73">
        <v>88</v>
      </c>
      <c r="H73">
        <v>0</v>
      </c>
      <c r="I73">
        <v>2</v>
      </c>
      <c r="J73">
        <v>0.35</v>
      </c>
      <c r="K73">
        <v>25</v>
      </c>
      <c r="L73">
        <v>9</v>
      </c>
      <c r="M73">
        <v>433</v>
      </c>
      <c r="N73" s="14">
        <f t="shared" ref="N73:N104" si="3">400/M73</f>
        <v>0.92378752886836024</v>
      </c>
    </row>
    <row r="74" spans="1:14" x14ac:dyDescent="0.25">
      <c r="A74" s="4">
        <v>44350</v>
      </c>
      <c r="B74" s="7">
        <v>73</v>
      </c>
      <c r="C74" t="s">
        <v>145</v>
      </c>
      <c r="F74" t="s">
        <v>209</v>
      </c>
      <c r="G74">
        <v>82</v>
      </c>
      <c r="H74">
        <v>0</v>
      </c>
      <c r="I74">
        <v>1</v>
      </c>
      <c r="J74">
        <v>0.3</v>
      </c>
      <c r="K74">
        <v>28</v>
      </c>
      <c r="L74">
        <v>9</v>
      </c>
      <c r="M74">
        <v>379</v>
      </c>
      <c r="N74" s="14">
        <f t="shared" si="3"/>
        <v>1.0554089709762533</v>
      </c>
    </row>
    <row r="75" spans="1:14" x14ac:dyDescent="0.25">
      <c r="A75" s="4">
        <v>44397</v>
      </c>
      <c r="B75" s="8">
        <v>74</v>
      </c>
      <c r="C75" t="s">
        <v>146</v>
      </c>
      <c r="D75" t="s">
        <v>147</v>
      </c>
      <c r="E75" t="s">
        <v>147</v>
      </c>
      <c r="F75" t="s">
        <v>210</v>
      </c>
      <c r="G75">
        <v>73</v>
      </c>
      <c r="H75">
        <v>0</v>
      </c>
      <c r="I75">
        <v>1</v>
      </c>
      <c r="J75">
        <v>0.34</v>
      </c>
      <c r="K75">
        <v>27</v>
      </c>
      <c r="L75">
        <v>8</v>
      </c>
      <c r="M75">
        <v>415</v>
      </c>
      <c r="N75" s="14">
        <f t="shared" si="3"/>
        <v>0.96385542168674698</v>
      </c>
    </row>
    <row r="76" spans="1:14" x14ac:dyDescent="0.25">
      <c r="A76" s="4">
        <v>44537</v>
      </c>
      <c r="B76" s="7">
        <v>75</v>
      </c>
      <c r="C76" t="s">
        <v>148</v>
      </c>
      <c r="D76" t="s">
        <v>149</v>
      </c>
      <c r="E76" t="s">
        <v>149</v>
      </c>
      <c r="F76" t="s">
        <v>210</v>
      </c>
      <c r="G76">
        <v>69</v>
      </c>
      <c r="H76">
        <v>1</v>
      </c>
      <c r="I76">
        <v>1</v>
      </c>
      <c r="J76">
        <v>0.05</v>
      </c>
      <c r="K76">
        <v>28</v>
      </c>
      <c r="L76">
        <v>6</v>
      </c>
      <c r="M76">
        <v>445</v>
      </c>
      <c r="N76" s="14">
        <f t="shared" si="3"/>
        <v>0.898876404494382</v>
      </c>
    </row>
    <row r="77" spans="1:14" x14ac:dyDescent="0.25">
      <c r="A77" s="4">
        <v>44413</v>
      </c>
      <c r="B77" s="8">
        <v>76</v>
      </c>
      <c r="C77" t="s">
        <v>150</v>
      </c>
      <c r="D77" t="s">
        <v>149</v>
      </c>
      <c r="E77" t="s">
        <v>149</v>
      </c>
      <c r="F77" t="s">
        <v>210</v>
      </c>
      <c r="G77">
        <v>73</v>
      </c>
      <c r="H77">
        <v>0</v>
      </c>
      <c r="I77">
        <v>1</v>
      </c>
      <c r="J77">
        <v>0.1</v>
      </c>
      <c r="K77">
        <v>27</v>
      </c>
      <c r="L77">
        <v>7</v>
      </c>
      <c r="M77">
        <v>447</v>
      </c>
      <c r="N77" s="14">
        <f t="shared" si="3"/>
        <v>0.89485458612975388</v>
      </c>
    </row>
    <row r="78" spans="1:14" x14ac:dyDescent="0.25">
      <c r="A78" s="4">
        <v>44425</v>
      </c>
      <c r="B78" s="7">
        <v>77</v>
      </c>
      <c r="C78" t="s">
        <v>151</v>
      </c>
      <c r="F78" t="s">
        <v>209</v>
      </c>
      <c r="G78">
        <v>80</v>
      </c>
      <c r="H78">
        <v>0</v>
      </c>
      <c r="I78">
        <v>1</v>
      </c>
      <c r="J78">
        <v>0.18</v>
      </c>
      <c r="K78">
        <v>29</v>
      </c>
      <c r="L78">
        <v>8</v>
      </c>
      <c r="M78">
        <v>523</v>
      </c>
      <c r="N78" s="14">
        <f t="shared" si="3"/>
        <v>0.76481835564053535</v>
      </c>
    </row>
    <row r="79" spans="1:14" x14ac:dyDescent="0.25">
      <c r="A79" s="4">
        <v>44490</v>
      </c>
      <c r="B79" s="8">
        <v>78</v>
      </c>
      <c r="C79" t="s">
        <v>152</v>
      </c>
      <c r="E79" t="s">
        <v>269</v>
      </c>
      <c r="F79" t="s">
        <v>209</v>
      </c>
      <c r="G79">
        <v>66</v>
      </c>
      <c r="H79">
        <v>0</v>
      </c>
      <c r="I79">
        <v>1</v>
      </c>
      <c r="J79">
        <v>0.25</v>
      </c>
      <c r="K79">
        <v>29</v>
      </c>
      <c r="L79">
        <v>9</v>
      </c>
      <c r="M79">
        <v>413</v>
      </c>
      <c r="N79" s="14">
        <f t="shared" si="3"/>
        <v>0.96852300242130751</v>
      </c>
    </row>
    <row r="80" spans="1:14" x14ac:dyDescent="0.25">
      <c r="A80" s="4">
        <v>44504</v>
      </c>
      <c r="B80" s="7">
        <v>79</v>
      </c>
      <c r="C80" t="s">
        <v>153</v>
      </c>
      <c r="F80" t="s">
        <v>209</v>
      </c>
      <c r="G80">
        <v>72</v>
      </c>
      <c r="H80">
        <v>0</v>
      </c>
      <c r="I80">
        <v>1</v>
      </c>
      <c r="J80">
        <v>0.21</v>
      </c>
      <c r="K80">
        <v>26</v>
      </c>
      <c r="L80">
        <v>9</v>
      </c>
      <c r="M80">
        <v>376</v>
      </c>
      <c r="N80" s="14">
        <f t="shared" si="3"/>
        <v>1.0638297872340425</v>
      </c>
    </row>
    <row r="81" spans="1:14" x14ac:dyDescent="0.25">
      <c r="A81" s="4">
        <v>44546</v>
      </c>
      <c r="B81" s="8">
        <v>80</v>
      </c>
      <c r="C81" t="s">
        <v>154</v>
      </c>
      <c r="D81" t="s">
        <v>147</v>
      </c>
      <c r="E81" t="s">
        <v>147</v>
      </c>
      <c r="F81" t="s">
        <v>210</v>
      </c>
      <c r="G81">
        <v>72</v>
      </c>
      <c r="H81">
        <v>0</v>
      </c>
      <c r="I81">
        <v>1</v>
      </c>
      <c r="J81">
        <v>0.05</v>
      </c>
      <c r="K81">
        <v>26</v>
      </c>
      <c r="L81">
        <v>7</v>
      </c>
      <c r="M81">
        <v>548</v>
      </c>
      <c r="N81" s="14">
        <f t="shared" si="3"/>
        <v>0.72992700729927007</v>
      </c>
    </row>
    <row r="82" spans="1:14" x14ac:dyDescent="0.25">
      <c r="A82" s="4">
        <v>44593</v>
      </c>
      <c r="B82" s="7">
        <v>81</v>
      </c>
      <c r="C82" t="s">
        <v>155</v>
      </c>
      <c r="D82" t="s">
        <v>156</v>
      </c>
      <c r="E82" t="s">
        <v>156</v>
      </c>
      <c r="F82" t="s">
        <v>210</v>
      </c>
      <c r="G82">
        <v>70</v>
      </c>
      <c r="H82">
        <v>0</v>
      </c>
      <c r="I82">
        <v>1</v>
      </c>
      <c r="J82">
        <v>0.25</v>
      </c>
      <c r="K82">
        <v>28</v>
      </c>
      <c r="L82">
        <v>8</v>
      </c>
      <c r="M82">
        <v>397</v>
      </c>
      <c r="N82" s="14">
        <f t="shared" si="3"/>
        <v>1.0075566750629723</v>
      </c>
    </row>
    <row r="83" spans="1:14" x14ac:dyDescent="0.25">
      <c r="A83" s="4">
        <v>44642</v>
      </c>
      <c r="B83" s="8">
        <v>82</v>
      </c>
      <c r="C83" t="s">
        <v>157</v>
      </c>
      <c r="D83" t="s">
        <v>147</v>
      </c>
      <c r="E83" t="s">
        <v>147</v>
      </c>
      <c r="F83" t="s">
        <v>210</v>
      </c>
      <c r="G83">
        <v>95</v>
      </c>
      <c r="H83">
        <v>0</v>
      </c>
      <c r="I83" t="s">
        <v>277</v>
      </c>
      <c r="J83">
        <v>0.05</v>
      </c>
      <c r="K83">
        <v>25</v>
      </c>
      <c r="L83">
        <v>7</v>
      </c>
      <c r="M83">
        <f>8*60+27</f>
        <v>507</v>
      </c>
      <c r="N83" s="14">
        <f t="shared" si="3"/>
        <v>0.78895463510848129</v>
      </c>
    </row>
    <row r="84" spans="1:14" x14ac:dyDescent="0.25">
      <c r="A84" s="4">
        <v>44749</v>
      </c>
      <c r="B84" s="7">
        <v>83</v>
      </c>
      <c r="C84" t="s">
        <v>158</v>
      </c>
      <c r="F84" t="s">
        <v>209</v>
      </c>
      <c r="G84">
        <v>70</v>
      </c>
      <c r="H84">
        <v>0</v>
      </c>
      <c r="I84">
        <v>1</v>
      </c>
      <c r="J84">
        <v>0.31</v>
      </c>
      <c r="K84">
        <v>30</v>
      </c>
      <c r="L84">
        <v>8</v>
      </c>
      <c r="M84">
        <v>335</v>
      </c>
      <c r="N84" s="14">
        <f t="shared" si="3"/>
        <v>1.1940298507462686</v>
      </c>
    </row>
    <row r="85" spans="1:14" x14ac:dyDescent="0.25">
      <c r="A85" s="4">
        <v>44733</v>
      </c>
      <c r="B85" s="8">
        <v>84</v>
      </c>
      <c r="C85" t="s">
        <v>159</v>
      </c>
      <c r="F85" t="s">
        <v>209</v>
      </c>
      <c r="G85">
        <v>79</v>
      </c>
      <c r="H85">
        <v>0</v>
      </c>
      <c r="I85">
        <v>1</v>
      </c>
      <c r="J85">
        <v>0.2</v>
      </c>
      <c r="K85">
        <v>24</v>
      </c>
      <c r="L85">
        <v>9</v>
      </c>
      <c r="M85">
        <f>360+47</f>
        <v>407</v>
      </c>
      <c r="N85" s="14">
        <f t="shared" si="3"/>
        <v>0.98280098280098283</v>
      </c>
    </row>
    <row r="86" spans="1:14" x14ac:dyDescent="0.25">
      <c r="A86" s="4">
        <v>44789</v>
      </c>
      <c r="B86" s="7">
        <v>85</v>
      </c>
      <c r="C86" t="s">
        <v>160</v>
      </c>
      <c r="D86" s="5" t="s">
        <v>261</v>
      </c>
      <c r="E86" s="5"/>
      <c r="F86" t="s">
        <v>209</v>
      </c>
      <c r="G86">
        <v>67</v>
      </c>
      <c r="H86">
        <v>0</v>
      </c>
      <c r="I86">
        <v>1</v>
      </c>
      <c r="J86">
        <v>0.25</v>
      </c>
      <c r="K86">
        <v>24</v>
      </c>
      <c r="L86">
        <v>7</v>
      </c>
      <c r="M86">
        <v>346</v>
      </c>
      <c r="N86" s="14">
        <f t="shared" si="3"/>
        <v>1.1560693641618498</v>
      </c>
    </row>
    <row r="87" spans="1:14" x14ac:dyDescent="0.25">
      <c r="A87" s="4">
        <v>43726</v>
      </c>
      <c r="B87" s="8">
        <v>86</v>
      </c>
      <c r="C87" t="s">
        <v>161</v>
      </c>
      <c r="D87" t="s">
        <v>111</v>
      </c>
      <c r="E87" t="s">
        <v>111</v>
      </c>
      <c r="F87" t="s">
        <v>210</v>
      </c>
      <c r="G87">
        <v>80</v>
      </c>
      <c r="H87">
        <v>0</v>
      </c>
      <c r="I87">
        <v>1</v>
      </c>
      <c r="J87">
        <v>0.5</v>
      </c>
      <c r="K87">
        <v>28</v>
      </c>
      <c r="L87">
        <v>7</v>
      </c>
      <c r="M87" s="9">
        <f>354</f>
        <v>354</v>
      </c>
      <c r="N87" s="14">
        <f t="shared" si="3"/>
        <v>1.1299435028248588</v>
      </c>
    </row>
    <row r="88" spans="1:14" x14ac:dyDescent="0.25">
      <c r="A88" s="4">
        <v>43763</v>
      </c>
      <c r="B88" s="7">
        <v>87</v>
      </c>
      <c r="C88" t="s">
        <v>162</v>
      </c>
      <c r="D88" t="s">
        <v>106</v>
      </c>
      <c r="E88" t="s">
        <v>106</v>
      </c>
      <c r="F88" t="s">
        <v>210</v>
      </c>
      <c r="G88">
        <v>75</v>
      </c>
      <c r="H88">
        <v>0</v>
      </c>
      <c r="I88">
        <v>1</v>
      </c>
      <c r="J88" t="s">
        <v>276</v>
      </c>
      <c r="K88">
        <v>29</v>
      </c>
      <c r="L88">
        <v>9</v>
      </c>
      <c r="M88" s="9">
        <v>373</v>
      </c>
      <c r="N88" s="14">
        <f t="shared" si="3"/>
        <v>1.0723860589812333</v>
      </c>
    </row>
    <row r="89" spans="1:14" x14ac:dyDescent="0.25">
      <c r="A89" s="4">
        <v>43777</v>
      </c>
      <c r="B89" s="8">
        <v>88</v>
      </c>
      <c r="C89" t="s">
        <v>163</v>
      </c>
      <c r="E89" t="s">
        <v>269</v>
      </c>
      <c r="F89" t="s">
        <v>209</v>
      </c>
      <c r="G89">
        <v>81</v>
      </c>
      <c r="H89">
        <v>0</v>
      </c>
      <c r="I89">
        <v>2</v>
      </c>
      <c r="J89">
        <v>0.17</v>
      </c>
      <c r="K89">
        <v>29</v>
      </c>
      <c r="L89">
        <v>8</v>
      </c>
      <c r="M89" s="9">
        <f>7*60+49</f>
        <v>469</v>
      </c>
      <c r="N89" s="14">
        <f t="shared" si="3"/>
        <v>0.85287846481876328</v>
      </c>
    </row>
    <row r="90" spans="1:14" x14ac:dyDescent="0.25">
      <c r="A90" s="4">
        <v>43790</v>
      </c>
      <c r="B90" s="7">
        <v>89</v>
      </c>
      <c r="C90" t="s">
        <v>164</v>
      </c>
      <c r="D90" t="s">
        <v>142</v>
      </c>
      <c r="E90" t="s">
        <v>142</v>
      </c>
      <c r="F90" t="s">
        <v>210</v>
      </c>
      <c r="G90">
        <v>83</v>
      </c>
      <c r="H90">
        <v>0</v>
      </c>
      <c r="I90">
        <v>1</v>
      </c>
      <c r="J90">
        <v>0.28000000000000003</v>
      </c>
      <c r="K90">
        <v>28</v>
      </c>
      <c r="L90">
        <v>9</v>
      </c>
      <c r="M90" s="9">
        <f>7*60+34</f>
        <v>454</v>
      </c>
      <c r="N90" s="14">
        <f t="shared" si="3"/>
        <v>0.88105726872246692</v>
      </c>
    </row>
    <row r="91" spans="1:14" x14ac:dyDescent="0.25">
      <c r="A91" s="4">
        <v>43854</v>
      </c>
      <c r="B91" s="8">
        <v>90</v>
      </c>
      <c r="C91" t="s">
        <v>165</v>
      </c>
      <c r="F91" t="s">
        <v>209</v>
      </c>
      <c r="G91">
        <v>78</v>
      </c>
      <c r="H91">
        <v>1</v>
      </c>
      <c r="I91">
        <v>1</v>
      </c>
      <c r="J91">
        <v>0.69</v>
      </c>
      <c r="K91">
        <v>29</v>
      </c>
      <c r="L91" s="9">
        <v>8</v>
      </c>
      <c r="M91" s="9">
        <f>346</f>
        <v>346</v>
      </c>
      <c r="N91" s="14">
        <f t="shared" si="3"/>
        <v>1.1560693641618498</v>
      </c>
    </row>
    <row r="92" spans="1:14" x14ac:dyDescent="0.25">
      <c r="A92" s="4">
        <v>43861</v>
      </c>
      <c r="B92" s="7">
        <v>91</v>
      </c>
      <c r="C92" t="s">
        <v>166</v>
      </c>
      <c r="D92" t="s">
        <v>111</v>
      </c>
      <c r="E92" t="s">
        <v>111</v>
      </c>
      <c r="F92" t="s">
        <v>210</v>
      </c>
      <c r="G92">
        <v>70</v>
      </c>
      <c r="H92">
        <v>1</v>
      </c>
      <c r="I92">
        <v>1</v>
      </c>
      <c r="J92">
        <v>0.25</v>
      </c>
      <c r="K92">
        <v>25</v>
      </c>
      <c r="L92" s="9">
        <v>7</v>
      </c>
      <c r="M92" s="9">
        <f>636</f>
        <v>636</v>
      </c>
      <c r="N92" s="14">
        <f t="shared" si="3"/>
        <v>0.62893081761006286</v>
      </c>
    </row>
    <row r="93" spans="1:14" x14ac:dyDescent="0.25">
      <c r="A93" s="4">
        <v>43899</v>
      </c>
      <c r="B93" s="8">
        <v>92</v>
      </c>
      <c r="C93" t="s">
        <v>167</v>
      </c>
      <c r="D93" t="s">
        <v>123</v>
      </c>
      <c r="E93" t="s">
        <v>123</v>
      </c>
      <c r="F93" t="s">
        <v>209</v>
      </c>
      <c r="G93">
        <v>73</v>
      </c>
      <c r="H93">
        <v>0</v>
      </c>
      <c r="I93">
        <v>2</v>
      </c>
      <c r="J93">
        <v>0.2</v>
      </c>
      <c r="K93">
        <v>27</v>
      </c>
      <c r="L93" s="9">
        <v>9</v>
      </c>
      <c r="M93" s="9">
        <f>7*60+18</f>
        <v>438</v>
      </c>
      <c r="N93" s="14">
        <f t="shared" si="3"/>
        <v>0.91324200913242004</v>
      </c>
    </row>
    <row r="94" spans="1:14" x14ac:dyDescent="0.25">
      <c r="A94" s="4">
        <v>44217</v>
      </c>
      <c r="B94" s="7">
        <v>93</v>
      </c>
      <c r="C94" t="s">
        <v>168</v>
      </c>
      <c r="F94" t="s">
        <v>209</v>
      </c>
      <c r="G94">
        <v>79</v>
      </c>
      <c r="H94">
        <v>1</v>
      </c>
      <c r="I94">
        <v>1</v>
      </c>
      <c r="J94">
        <v>0.33</v>
      </c>
      <c r="K94">
        <v>28</v>
      </c>
      <c r="L94">
        <v>9</v>
      </c>
      <c r="M94" s="9">
        <f>8*60+6</f>
        <v>486</v>
      </c>
      <c r="N94" s="14">
        <f t="shared" si="3"/>
        <v>0.82304526748971196</v>
      </c>
    </row>
    <row r="95" spans="1:14" x14ac:dyDescent="0.25">
      <c r="A95" s="4">
        <v>44236</v>
      </c>
      <c r="B95" s="8">
        <v>94</v>
      </c>
      <c r="C95" t="s">
        <v>169</v>
      </c>
      <c r="D95" t="s">
        <v>170</v>
      </c>
      <c r="E95" t="s">
        <v>170</v>
      </c>
      <c r="F95" t="s">
        <v>210</v>
      </c>
      <c r="G95">
        <v>85</v>
      </c>
      <c r="H95">
        <v>0</v>
      </c>
      <c r="I95">
        <v>2</v>
      </c>
      <c r="J95" t="s">
        <v>276</v>
      </c>
      <c r="K95">
        <v>26</v>
      </c>
      <c r="L95">
        <v>4</v>
      </c>
      <c r="M95" s="9">
        <f>12*60+40</f>
        <v>760</v>
      </c>
      <c r="N95" s="14">
        <f t="shared" si="3"/>
        <v>0.52631578947368418</v>
      </c>
    </row>
    <row r="96" spans="1:14" x14ac:dyDescent="0.25">
      <c r="A96" s="4">
        <v>44271</v>
      </c>
      <c r="B96" s="7">
        <v>95</v>
      </c>
      <c r="C96" t="s">
        <v>171</v>
      </c>
      <c r="D96" t="s">
        <v>147</v>
      </c>
      <c r="E96" t="s">
        <v>147</v>
      </c>
      <c r="F96" t="s">
        <v>210</v>
      </c>
      <c r="G96">
        <v>91</v>
      </c>
      <c r="H96">
        <v>0</v>
      </c>
      <c r="I96">
        <v>1</v>
      </c>
      <c r="J96">
        <v>0.1</v>
      </c>
      <c r="K96">
        <v>27</v>
      </c>
      <c r="L96">
        <v>6</v>
      </c>
      <c r="M96" s="9">
        <f>12*60+2</f>
        <v>722</v>
      </c>
      <c r="N96" s="14">
        <f t="shared" si="3"/>
        <v>0.554016620498615</v>
      </c>
    </row>
    <row r="97" spans="1:14" x14ac:dyDescent="0.25">
      <c r="A97" s="4">
        <v>44252</v>
      </c>
      <c r="B97" s="8">
        <v>96</v>
      </c>
      <c r="C97" t="s">
        <v>172</v>
      </c>
      <c r="F97" t="s">
        <v>209</v>
      </c>
      <c r="G97">
        <v>79</v>
      </c>
      <c r="H97">
        <v>1</v>
      </c>
      <c r="I97">
        <v>1</v>
      </c>
      <c r="J97">
        <v>0.18</v>
      </c>
      <c r="K97">
        <v>29</v>
      </c>
      <c r="L97">
        <v>9</v>
      </c>
      <c r="M97" s="9">
        <v>386</v>
      </c>
      <c r="N97" s="14">
        <f t="shared" si="3"/>
        <v>1.0362694300518134</v>
      </c>
    </row>
    <row r="98" spans="1:14" x14ac:dyDescent="0.25">
      <c r="A98" s="4">
        <v>44273</v>
      </c>
      <c r="B98" s="7">
        <v>97</v>
      </c>
      <c r="C98" t="s">
        <v>173</v>
      </c>
      <c r="D98" t="s">
        <v>111</v>
      </c>
      <c r="E98" t="s">
        <v>111</v>
      </c>
      <c r="F98" t="s">
        <v>210</v>
      </c>
      <c r="G98">
        <v>78</v>
      </c>
      <c r="H98">
        <v>1</v>
      </c>
      <c r="I98">
        <v>1</v>
      </c>
      <c r="J98">
        <v>0.05</v>
      </c>
      <c r="K98">
        <v>27</v>
      </c>
      <c r="L98" s="9">
        <v>6</v>
      </c>
      <c r="M98" s="9">
        <v>411</v>
      </c>
      <c r="N98" s="14">
        <f t="shared" si="3"/>
        <v>0.97323600973236013</v>
      </c>
    </row>
    <row r="99" spans="1:14" x14ac:dyDescent="0.25">
      <c r="A99" s="4">
        <v>44588</v>
      </c>
      <c r="B99" s="8">
        <v>98</v>
      </c>
      <c r="C99" t="s">
        <v>174</v>
      </c>
      <c r="D99" t="s">
        <v>142</v>
      </c>
      <c r="E99" t="s">
        <v>142</v>
      </c>
      <c r="F99" t="s">
        <v>210</v>
      </c>
      <c r="G99">
        <v>91</v>
      </c>
      <c r="H99">
        <v>1</v>
      </c>
      <c r="I99">
        <v>2</v>
      </c>
      <c r="J99">
        <v>7.0000000000000007E-2</v>
      </c>
      <c r="K99">
        <v>28</v>
      </c>
      <c r="L99" s="9" t="s">
        <v>276</v>
      </c>
      <c r="M99" s="9">
        <f>9*60+36</f>
        <v>576</v>
      </c>
      <c r="N99" s="14">
        <f t="shared" si="3"/>
        <v>0.69444444444444442</v>
      </c>
    </row>
    <row r="100" spans="1:14" x14ac:dyDescent="0.25">
      <c r="A100" s="4">
        <v>44306</v>
      </c>
      <c r="B100" s="7">
        <v>99</v>
      </c>
      <c r="C100" t="s">
        <v>175</v>
      </c>
      <c r="F100" t="s">
        <v>209</v>
      </c>
      <c r="G100">
        <v>70</v>
      </c>
      <c r="H100">
        <v>0</v>
      </c>
      <c r="I100">
        <v>1</v>
      </c>
      <c r="J100">
        <v>0.15</v>
      </c>
      <c r="K100">
        <v>29</v>
      </c>
      <c r="L100" s="9">
        <v>9</v>
      </c>
      <c r="M100" s="9">
        <f>7*60+36</f>
        <v>456</v>
      </c>
      <c r="N100" s="14">
        <f t="shared" si="3"/>
        <v>0.8771929824561403</v>
      </c>
    </row>
    <row r="101" spans="1:14" x14ac:dyDescent="0.25">
      <c r="A101" s="4">
        <v>44320</v>
      </c>
      <c r="B101" s="8">
        <v>100</v>
      </c>
      <c r="C101" t="s">
        <v>176</v>
      </c>
      <c r="D101" t="s">
        <v>267</v>
      </c>
      <c r="E101" t="s">
        <v>267</v>
      </c>
      <c r="F101" t="s">
        <v>210</v>
      </c>
      <c r="G101">
        <v>66</v>
      </c>
      <c r="H101">
        <v>0</v>
      </c>
      <c r="I101">
        <v>1</v>
      </c>
      <c r="J101">
        <v>0.15</v>
      </c>
      <c r="K101">
        <v>30</v>
      </c>
      <c r="L101" s="9">
        <v>9</v>
      </c>
      <c r="M101" s="9">
        <v>411</v>
      </c>
      <c r="N101" s="14">
        <f t="shared" si="3"/>
        <v>0.97323600973236013</v>
      </c>
    </row>
    <row r="102" spans="1:14" x14ac:dyDescent="0.25">
      <c r="A102" s="4">
        <v>44357</v>
      </c>
      <c r="B102" s="7">
        <v>101</v>
      </c>
      <c r="C102" t="s">
        <v>177</v>
      </c>
      <c r="D102" t="s">
        <v>108</v>
      </c>
      <c r="E102" t="s">
        <v>268</v>
      </c>
      <c r="F102" t="s">
        <v>209</v>
      </c>
      <c r="G102">
        <v>80</v>
      </c>
      <c r="H102">
        <v>1</v>
      </c>
      <c r="I102">
        <v>1</v>
      </c>
      <c r="J102">
        <v>0.28999999999999998</v>
      </c>
      <c r="K102">
        <v>28</v>
      </c>
      <c r="L102" s="9">
        <v>5</v>
      </c>
      <c r="M102" s="9">
        <f>7*60+53</f>
        <v>473</v>
      </c>
      <c r="N102" s="14">
        <f t="shared" si="3"/>
        <v>0.84566596194503174</v>
      </c>
    </row>
    <row r="103" spans="1:14" x14ac:dyDescent="0.25">
      <c r="A103" s="4">
        <v>44572</v>
      </c>
      <c r="B103" s="8">
        <v>102</v>
      </c>
      <c r="C103" t="s">
        <v>178</v>
      </c>
      <c r="F103" t="s">
        <v>209</v>
      </c>
      <c r="G103">
        <v>79</v>
      </c>
      <c r="H103">
        <v>0</v>
      </c>
      <c r="I103">
        <v>1</v>
      </c>
      <c r="J103">
        <v>0.15</v>
      </c>
      <c r="K103">
        <v>29</v>
      </c>
      <c r="L103" s="9">
        <v>8</v>
      </c>
      <c r="M103" s="9">
        <f>7*60+15</f>
        <v>435</v>
      </c>
      <c r="N103" s="14">
        <f t="shared" si="3"/>
        <v>0.91954022988505746</v>
      </c>
    </row>
    <row r="104" spans="1:14" x14ac:dyDescent="0.25">
      <c r="A104" s="4">
        <v>44386</v>
      </c>
      <c r="B104" s="7">
        <v>103</v>
      </c>
      <c r="C104" t="s">
        <v>179</v>
      </c>
      <c r="F104" t="s">
        <v>209</v>
      </c>
      <c r="G104">
        <v>70</v>
      </c>
      <c r="H104">
        <v>1</v>
      </c>
      <c r="I104">
        <v>1</v>
      </c>
      <c r="J104">
        <v>0.61</v>
      </c>
      <c r="K104">
        <v>29</v>
      </c>
      <c r="L104" s="9">
        <v>9</v>
      </c>
      <c r="M104" s="9">
        <f>5*60+25</f>
        <v>325</v>
      </c>
      <c r="N104" s="14">
        <f t="shared" si="3"/>
        <v>1.2307692307692308</v>
      </c>
    </row>
    <row r="105" spans="1:14" x14ac:dyDescent="0.25">
      <c r="A105" s="4">
        <v>44432</v>
      </c>
      <c r="B105" s="8">
        <v>104</v>
      </c>
      <c r="C105" t="s">
        <v>180</v>
      </c>
      <c r="D105" t="s">
        <v>142</v>
      </c>
      <c r="E105" t="s">
        <v>142</v>
      </c>
      <c r="F105" t="s">
        <v>210</v>
      </c>
      <c r="G105">
        <v>79</v>
      </c>
      <c r="H105">
        <v>0</v>
      </c>
      <c r="I105">
        <v>1</v>
      </c>
      <c r="J105">
        <v>0.03</v>
      </c>
      <c r="K105">
        <v>25</v>
      </c>
      <c r="L105" s="9">
        <v>7</v>
      </c>
      <c r="M105" s="9">
        <v>608</v>
      </c>
      <c r="N105" s="14">
        <f t="shared" ref="N105:N132" si="4">400/M105</f>
        <v>0.65789473684210531</v>
      </c>
    </row>
    <row r="106" spans="1:14" x14ac:dyDescent="0.25">
      <c r="A106" s="4">
        <v>44614</v>
      </c>
      <c r="B106" s="7">
        <v>105</v>
      </c>
      <c r="C106" t="s">
        <v>181</v>
      </c>
      <c r="E106" t="s">
        <v>269</v>
      </c>
      <c r="F106" t="s">
        <v>209</v>
      </c>
      <c r="G106">
        <v>69</v>
      </c>
      <c r="H106">
        <v>1</v>
      </c>
      <c r="I106">
        <v>1</v>
      </c>
      <c r="J106">
        <v>0.4</v>
      </c>
      <c r="K106">
        <v>29</v>
      </c>
      <c r="L106" s="9">
        <v>9</v>
      </c>
      <c r="M106" s="9">
        <v>361</v>
      </c>
      <c r="N106" s="14">
        <f t="shared" si="4"/>
        <v>1.10803324099723</v>
      </c>
    </row>
    <row r="107" spans="1:14" x14ac:dyDescent="0.25">
      <c r="A107" s="4">
        <v>44595</v>
      </c>
      <c r="B107" s="8">
        <v>106</v>
      </c>
      <c r="C107" t="s">
        <v>182</v>
      </c>
      <c r="D107" t="s">
        <v>108</v>
      </c>
      <c r="E107" t="s">
        <v>268</v>
      </c>
      <c r="F107" t="s">
        <v>209</v>
      </c>
      <c r="G107">
        <v>70</v>
      </c>
      <c r="H107">
        <v>1</v>
      </c>
      <c r="I107">
        <v>1</v>
      </c>
      <c r="J107">
        <v>0.28999999999999998</v>
      </c>
      <c r="K107">
        <v>28</v>
      </c>
      <c r="L107" s="9">
        <v>8</v>
      </c>
      <c r="M107" s="9">
        <v>363</v>
      </c>
      <c r="N107" s="14">
        <f t="shared" si="4"/>
        <v>1.1019283746556474</v>
      </c>
    </row>
    <row r="108" spans="1:14" x14ac:dyDescent="0.25">
      <c r="A108" s="4">
        <v>44658</v>
      </c>
      <c r="B108" s="7">
        <v>107</v>
      </c>
      <c r="C108" t="s">
        <v>183</v>
      </c>
      <c r="D108" t="s">
        <v>149</v>
      </c>
      <c r="E108" t="s">
        <v>149</v>
      </c>
      <c r="F108" t="s">
        <v>210</v>
      </c>
      <c r="G108">
        <v>79</v>
      </c>
      <c r="H108">
        <v>0</v>
      </c>
      <c r="I108">
        <v>1</v>
      </c>
      <c r="J108">
        <v>0.03</v>
      </c>
      <c r="K108">
        <v>30</v>
      </c>
      <c r="L108" s="9">
        <v>6</v>
      </c>
      <c r="M108" s="9">
        <f>9*60+42</f>
        <v>582</v>
      </c>
      <c r="N108" s="14">
        <f t="shared" si="4"/>
        <v>0.6872852233676976</v>
      </c>
    </row>
    <row r="109" spans="1:14" x14ac:dyDescent="0.25">
      <c r="A109" s="4">
        <v>44453</v>
      </c>
      <c r="B109" s="8">
        <v>108</v>
      </c>
      <c r="C109" t="s">
        <v>184</v>
      </c>
      <c r="F109" t="s">
        <v>209</v>
      </c>
      <c r="G109">
        <v>74</v>
      </c>
      <c r="H109">
        <v>0</v>
      </c>
      <c r="I109">
        <v>1</v>
      </c>
      <c r="J109">
        <v>0.23</v>
      </c>
      <c r="K109">
        <v>30</v>
      </c>
      <c r="L109" s="9">
        <v>7</v>
      </c>
      <c r="M109" s="9">
        <f>7*60+9</f>
        <v>429</v>
      </c>
      <c r="N109" s="14">
        <f t="shared" si="4"/>
        <v>0.93240093240093236</v>
      </c>
    </row>
    <row r="110" spans="1:14" x14ac:dyDescent="0.25">
      <c r="A110" s="4">
        <v>44474</v>
      </c>
      <c r="B110" s="7">
        <v>109</v>
      </c>
      <c r="C110" t="s">
        <v>185</v>
      </c>
      <c r="F110" t="s">
        <v>209</v>
      </c>
      <c r="G110">
        <v>67</v>
      </c>
      <c r="H110">
        <v>0</v>
      </c>
      <c r="I110">
        <v>1</v>
      </c>
      <c r="J110">
        <v>0.3</v>
      </c>
      <c r="K110">
        <v>29</v>
      </c>
      <c r="L110">
        <v>6</v>
      </c>
      <c r="M110" s="9">
        <v>334</v>
      </c>
      <c r="N110" s="14">
        <f t="shared" si="4"/>
        <v>1.1976047904191616</v>
      </c>
    </row>
    <row r="111" spans="1:14" x14ac:dyDescent="0.25">
      <c r="A111" s="4">
        <v>44467</v>
      </c>
      <c r="B111" s="8">
        <v>110</v>
      </c>
      <c r="C111" t="s">
        <v>186</v>
      </c>
      <c r="F111" t="s">
        <v>209</v>
      </c>
      <c r="G111">
        <v>80</v>
      </c>
      <c r="H111">
        <v>1</v>
      </c>
      <c r="I111">
        <v>1</v>
      </c>
      <c r="J111">
        <v>0.2</v>
      </c>
      <c r="K111">
        <v>27</v>
      </c>
      <c r="L111">
        <v>8</v>
      </c>
      <c r="M111" s="9">
        <v>470</v>
      </c>
      <c r="N111" s="14">
        <f t="shared" si="4"/>
        <v>0.85106382978723405</v>
      </c>
    </row>
    <row r="112" spans="1:14" x14ac:dyDescent="0.25">
      <c r="A112" s="4">
        <v>44495</v>
      </c>
      <c r="B112" s="7">
        <v>111</v>
      </c>
      <c r="C112" t="s">
        <v>187</v>
      </c>
      <c r="F112" t="s">
        <v>209</v>
      </c>
      <c r="G112">
        <v>72</v>
      </c>
      <c r="H112">
        <v>0</v>
      </c>
      <c r="I112">
        <v>1</v>
      </c>
      <c r="J112">
        <v>0.28000000000000003</v>
      </c>
      <c r="K112">
        <v>28</v>
      </c>
      <c r="L112">
        <v>7</v>
      </c>
      <c r="M112" s="9">
        <v>422</v>
      </c>
      <c r="N112" s="14">
        <f t="shared" si="4"/>
        <v>0.94786729857819907</v>
      </c>
    </row>
    <row r="113" spans="1:14" x14ac:dyDescent="0.25">
      <c r="A113" s="4">
        <v>44488</v>
      </c>
      <c r="B113" s="8">
        <v>112</v>
      </c>
      <c r="C113" t="s">
        <v>188</v>
      </c>
      <c r="F113" t="s">
        <v>209</v>
      </c>
      <c r="G113">
        <v>66</v>
      </c>
      <c r="H113">
        <v>0</v>
      </c>
      <c r="I113">
        <v>1</v>
      </c>
      <c r="J113">
        <v>0.48</v>
      </c>
      <c r="K113">
        <v>28</v>
      </c>
      <c r="L113">
        <v>8</v>
      </c>
      <c r="M113" s="9">
        <v>336</v>
      </c>
      <c r="N113" s="14">
        <f t="shared" si="4"/>
        <v>1.1904761904761905</v>
      </c>
    </row>
    <row r="114" spans="1:14" x14ac:dyDescent="0.25">
      <c r="A114" s="4">
        <v>44516</v>
      </c>
      <c r="B114" s="7">
        <v>113</v>
      </c>
      <c r="C114" t="s">
        <v>189</v>
      </c>
      <c r="F114" t="s">
        <v>209</v>
      </c>
      <c r="G114">
        <v>65</v>
      </c>
      <c r="H114">
        <v>0</v>
      </c>
      <c r="I114">
        <v>1</v>
      </c>
      <c r="J114">
        <v>0.36</v>
      </c>
      <c r="K114">
        <v>29</v>
      </c>
      <c r="L114">
        <v>9</v>
      </c>
      <c r="M114" s="9">
        <v>388</v>
      </c>
      <c r="N114" s="14">
        <f t="shared" si="4"/>
        <v>1.0309278350515463</v>
      </c>
    </row>
    <row r="115" spans="1:14" x14ac:dyDescent="0.25">
      <c r="A115" s="4">
        <v>44523</v>
      </c>
      <c r="B115" s="8">
        <v>114</v>
      </c>
      <c r="C115" t="s">
        <v>190</v>
      </c>
      <c r="D115" t="s">
        <v>149</v>
      </c>
      <c r="E115" t="s">
        <v>149</v>
      </c>
      <c r="F115" t="s">
        <v>210</v>
      </c>
      <c r="G115">
        <v>93</v>
      </c>
      <c r="H115">
        <v>0</v>
      </c>
      <c r="I115">
        <v>1</v>
      </c>
      <c r="J115">
        <v>0.1</v>
      </c>
      <c r="K115">
        <v>25</v>
      </c>
      <c r="L115">
        <v>6</v>
      </c>
      <c r="M115" s="9">
        <v>454</v>
      </c>
      <c r="N115" s="14">
        <f t="shared" si="4"/>
        <v>0.88105726872246692</v>
      </c>
    </row>
    <row r="116" spans="1:14" x14ac:dyDescent="0.25">
      <c r="A116" s="4">
        <v>44544</v>
      </c>
      <c r="B116" s="7">
        <v>115</v>
      </c>
      <c r="C116" t="s">
        <v>191</v>
      </c>
      <c r="E116" t="s">
        <v>269</v>
      </c>
      <c r="F116" t="s">
        <v>209</v>
      </c>
      <c r="G116">
        <v>84</v>
      </c>
      <c r="H116">
        <v>1</v>
      </c>
      <c r="I116">
        <v>1</v>
      </c>
      <c r="J116">
        <v>0.24</v>
      </c>
      <c r="K116">
        <v>26</v>
      </c>
      <c r="L116">
        <v>9</v>
      </c>
      <c r="M116" s="9">
        <v>439</v>
      </c>
      <c r="N116" s="14">
        <f t="shared" si="4"/>
        <v>0.91116173120728927</v>
      </c>
    </row>
    <row r="117" spans="1:14" x14ac:dyDescent="0.25">
      <c r="A117" s="4">
        <v>44581</v>
      </c>
      <c r="B117" s="8">
        <v>116</v>
      </c>
      <c r="C117" t="s">
        <v>192</v>
      </c>
      <c r="F117" t="s">
        <v>209</v>
      </c>
      <c r="G117">
        <v>82</v>
      </c>
      <c r="H117">
        <v>0</v>
      </c>
      <c r="I117">
        <v>1</v>
      </c>
      <c r="J117">
        <v>0.23</v>
      </c>
      <c r="K117">
        <v>27</v>
      </c>
      <c r="L117">
        <v>9</v>
      </c>
      <c r="M117" s="9">
        <v>432</v>
      </c>
      <c r="N117" s="14">
        <f t="shared" si="4"/>
        <v>0.92592592592592593</v>
      </c>
    </row>
    <row r="118" spans="1:14" x14ac:dyDescent="0.25">
      <c r="A118" s="4">
        <v>44602</v>
      </c>
      <c r="B118" s="7">
        <v>117</v>
      </c>
      <c r="C118" t="s">
        <v>193</v>
      </c>
      <c r="D118" t="s">
        <v>149</v>
      </c>
      <c r="E118" t="s">
        <v>149</v>
      </c>
      <c r="F118" t="s">
        <v>210</v>
      </c>
      <c r="G118">
        <v>82</v>
      </c>
      <c r="H118">
        <v>0</v>
      </c>
      <c r="I118" t="s">
        <v>277</v>
      </c>
      <c r="J118">
        <v>0.05</v>
      </c>
      <c r="K118">
        <v>27</v>
      </c>
      <c r="L118" s="9">
        <v>7</v>
      </c>
      <c r="M118" s="9">
        <v>462</v>
      </c>
      <c r="N118" s="14">
        <f t="shared" si="4"/>
        <v>0.86580086580086579</v>
      </c>
    </row>
    <row r="119" spans="1:14" x14ac:dyDescent="0.25">
      <c r="A119" s="4">
        <v>44677</v>
      </c>
      <c r="B119" s="8">
        <v>118</v>
      </c>
      <c r="C119" t="s">
        <v>194</v>
      </c>
      <c r="F119" t="s">
        <v>209</v>
      </c>
      <c r="G119">
        <v>78</v>
      </c>
      <c r="H119">
        <v>0</v>
      </c>
      <c r="I119">
        <v>1</v>
      </c>
      <c r="J119">
        <v>0.46</v>
      </c>
      <c r="K119">
        <v>29</v>
      </c>
      <c r="L119" s="9">
        <v>9</v>
      </c>
      <c r="M119" s="9">
        <v>395</v>
      </c>
      <c r="N119" s="14">
        <f t="shared" si="4"/>
        <v>1.0126582278481013</v>
      </c>
    </row>
    <row r="120" spans="1:14" x14ac:dyDescent="0.25">
      <c r="A120" s="4">
        <v>44672</v>
      </c>
      <c r="B120" s="7">
        <v>119</v>
      </c>
      <c r="C120" t="s">
        <v>195</v>
      </c>
      <c r="F120" t="s">
        <v>209</v>
      </c>
      <c r="G120">
        <v>90</v>
      </c>
      <c r="H120">
        <v>1</v>
      </c>
      <c r="I120">
        <v>1</v>
      </c>
      <c r="J120">
        <v>0.35</v>
      </c>
      <c r="K120">
        <v>26</v>
      </c>
      <c r="L120" s="9">
        <v>7</v>
      </c>
      <c r="M120" s="9">
        <v>377</v>
      </c>
      <c r="N120" s="14">
        <f t="shared" si="4"/>
        <v>1.0610079575596818</v>
      </c>
    </row>
    <row r="121" spans="1:14" x14ac:dyDescent="0.25">
      <c r="A121" s="4">
        <v>44712</v>
      </c>
      <c r="B121" s="8">
        <v>120</v>
      </c>
      <c r="C121" t="s">
        <v>196</v>
      </c>
      <c r="F121" t="s">
        <v>209</v>
      </c>
      <c r="G121">
        <v>77</v>
      </c>
      <c r="H121">
        <v>0</v>
      </c>
      <c r="I121">
        <v>1</v>
      </c>
      <c r="J121">
        <v>0.28000000000000003</v>
      </c>
      <c r="K121">
        <v>27</v>
      </c>
      <c r="L121" s="9">
        <v>7</v>
      </c>
      <c r="M121" s="9">
        <v>467</v>
      </c>
      <c r="N121" s="14">
        <f t="shared" si="4"/>
        <v>0.85653104925053536</v>
      </c>
    </row>
    <row r="122" spans="1:14" x14ac:dyDescent="0.25">
      <c r="A122" s="4">
        <v>44728</v>
      </c>
      <c r="B122" s="7">
        <v>121</v>
      </c>
      <c r="C122" t="s">
        <v>197</v>
      </c>
      <c r="D122" t="s">
        <v>108</v>
      </c>
      <c r="E122" t="s">
        <v>268</v>
      </c>
      <c r="F122" t="s">
        <v>209</v>
      </c>
      <c r="G122">
        <v>72</v>
      </c>
      <c r="H122">
        <v>1</v>
      </c>
      <c r="I122">
        <v>1</v>
      </c>
      <c r="J122">
        <v>0.25</v>
      </c>
      <c r="K122">
        <v>26</v>
      </c>
      <c r="L122" s="9">
        <v>9</v>
      </c>
      <c r="M122" s="9">
        <v>384</v>
      </c>
      <c r="N122" s="14">
        <f t="shared" si="4"/>
        <v>1.0416666666666667</v>
      </c>
    </row>
    <row r="123" spans="1:14" x14ac:dyDescent="0.25">
      <c r="A123" s="4">
        <v>44693</v>
      </c>
      <c r="B123" s="8">
        <v>122</v>
      </c>
      <c r="C123" t="s">
        <v>198</v>
      </c>
      <c r="F123" t="s">
        <v>209</v>
      </c>
      <c r="G123">
        <v>69</v>
      </c>
      <c r="H123">
        <v>1</v>
      </c>
      <c r="I123">
        <v>1</v>
      </c>
      <c r="J123">
        <v>0.3</v>
      </c>
      <c r="K123">
        <v>26</v>
      </c>
      <c r="L123" s="9">
        <v>7</v>
      </c>
      <c r="M123" s="9">
        <v>371</v>
      </c>
      <c r="N123" s="14">
        <f t="shared" si="4"/>
        <v>1.0781671159029649</v>
      </c>
    </row>
    <row r="124" spans="1:14" x14ac:dyDescent="0.25">
      <c r="A124" s="4">
        <v>44665</v>
      </c>
      <c r="B124" s="7">
        <v>123</v>
      </c>
      <c r="C124" t="s">
        <v>199</v>
      </c>
      <c r="F124" t="s">
        <v>209</v>
      </c>
      <c r="G124">
        <v>77</v>
      </c>
      <c r="H124">
        <v>1</v>
      </c>
      <c r="I124">
        <v>1</v>
      </c>
      <c r="J124">
        <v>0.28000000000000003</v>
      </c>
      <c r="K124">
        <v>25</v>
      </c>
      <c r="L124" s="9">
        <v>7</v>
      </c>
      <c r="M124" s="9">
        <v>448</v>
      </c>
      <c r="N124" s="14">
        <f t="shared" si="4"/>
        <v>0.8928571428571429</v>
      </c>
    </row>
    <row r="125" spans="1:14" x14ac:dyDescent="0.25">
      <c r="A125" s="4">
        <v>44911</v>
      </c>
      <c r="B125" s="8">
        <v>124</v>
      </c>
      <c r="C125" t="s">
        <v>200</v>
      </c>
      <c r="F125" t="s">
        <v>209</v>
      </c>
      <c r="G125">
        <v>77</v>
      </c>
      <c r="H125">
        <v>0</v>
      </c>
      <c r="I125">
        <v>1</v>
      </c>
      <c r="J125">
        <v>0.15</v>
      </c>
      <c r="K125">
        <v>30</v>
      </c>
      <c r="L125" s="9">
        <v>8</v>
      </c>
      <c r="M125" s="9">
        <v>561</v>
      </c>
      <c r="N125" s="14">
        <f t="shared" si="4"/>
        <v>0.71301247771836007</v>
      </c>
    </row>
    <row r="126" spans="1:14" x14ac:dyDescent="0.25">
      <c r="A126" s="4">
        <v>44754</v>
      </c>
      <c r="B126" s="7">
        <v>125</v>
      </c>
      <c r="C126" t="s">
        <v>201</v>
      </c>
      <c r="F126" t="s">
        <v>209</v>
      </c>
      <c r="G126">
        <v>68</v>
      </c>
      <c r="H126">
        <v>0</v>
      </c>
      <c r="I126">
        <v>1</v>
      </c>
      <c r="J126">
        <v>0.22</v>
      </c>
      <c r="K126">
        <v>26</v>
      </c>
      <c r="L126" s="9">
        <v>9</v>
      </c>
      <c r="M126" s="9">
        <v>424</v>
      </c>
      <c r="N126" s="14">
        <f t="shared" si="4"/>
        <v>0.94339622641509435</v>
      </c>
    </row>
    <row r="127" spans="1:14" x14ac:dyDescent="0.25">
      <c r="A127" s="4">
        <v>44742</v>
      </c>
      <c r="B127" s="8">
        <v>126</v>
      </c>
      <c r="C127" t="s">
        <v>202</v>
      </c>
      <c r="F127" t="s">
        <v>209</v>
      </c>
      <c r="G127">
        <v>71</v>
      </c>
      <c r="H127">
        <v>0</v>
      </c>
      <c r="I127">
        <v>1</v>
      </c>
      <c r="J127">
        <v>0.35</v>
      </c>
      <c r="K127">
        <v>29</v>
      </c>
      <c r="L127" s="9">
        <v>7</v>
      </c>
      <c r="M127" s="9">
        <v>445</v>
      </c>
      <c r="N127" s="14">
        <f t="shared" si="4"/>
        <v>0.898876404494382</v>
      </c>
    </row>
    <row r="128" spans="1:14" x14ac:dyDescent="0.25">
      <c r="A128" s="4">
        <v>44768</v>
      </c>
      <c r="B128" s="7">
        <v>127</v>
      </c>
      <c r="C128" t="s">
        <v>203</v>
      </c>
      <c r="F128" t="s">
        <v>209</v>
      </c>
      <c r="G128">
        <v>72</v>
      </c>
      <c r="H128">
        <v>0</v>
      </c>
      <c r="I128">
        <v>1</v>
      </c>
      <c r="J128">
        <v>0.25</v>
      </c>
      <c r="K128">
        <v>27</v>
      </c>
      <c r="L128" s="9">
        <v>8</v>
      </c>
      <c r="M128" s="9">
        <v>346</v>
      </c>
      <c r="N128" s="14">
        <f t="shared" si="4"/>
        <v>1.1560693641618498</v>
      </c>
    </row>
    <row r="129" spans="1:14" x14ac:dyDescent="0.25">
      <c r="A129" s="4">
        <v>44736</v>
      </c>
      <c r="B129" s="8">
        <v>128</v>
      </c>
      <c r="C129" t="s">
        <v>204</v>
      </c>
      <c r="E129" t="s">
        <v>269</v>
      </c>
      <c r="F129" t="s">
        <v>209</v>
      </c>
      <c r="G129">
        <v>75</v>
      </c>
      <c r="H129">
        <v>1</v>
      </c>
      <c r="I129">
        <v>1</v>
      </c>
      <c r="J129">
        <v>0.15</v>
      </c>
      <c r="K129">
        <v>25</v>
      </c>
      <c r="L129" s="9">
        <v>7</v>
      </c>
      <c r="M129" s="9">
        <v>470</v>
      </c>
      <c r="N129" s="14">
        <f t="shared" si="4"/>
        <v>0.85106382978723405</v>
      </c>
    </row>
    <row r="130" spans="1:14" x14ac:dyDescent="0.25">
      <c r="A130" s="4">
        <v>44868</v>
      </c>
      <c r="B130" s="7">
        <v>129</v>
      </c>
      <c r="C130" t="s">
        <v>205</v>
      </c>
      <c r="F130" t="s">
        <v>209</v>
      </c>
      <c r="G130">
        <v>81</v>
      </c>
      <c r="H130">
        <v>0</v>
      </c>
      <c r="I130">
        <v>1</v>
      </c>
      <c r="J130">
        <v>0.2</v>
      </c>
      <c r="K130">
        <v>27</v>
      </c>
      <c r="L130" s="9">
        <v>9</v>
      </c>
      <c r="M130" s="9">
        <v>446</v>
      </c>
      <c r="N130" s="14">
        <f t="shared" si="4"/>
        <v>0.89686098654708524</v>
      </c>
    </row>
    <row r="131" spans="1:14" x14ac:dyDescent="0.25">
      <c r="A131" s="4">
        <v>44957</v>
      </c>
      <c r="B131" s="8">
        <v>130</v>
      </c>
      <c r="C131" t="s">
        <v>206</v>
      </c>
      <c r="F131" t="s">
        <v>209</v>
      </c>
      <c r="G131">
        <v>81</v>
      </c>
      <c r="H131">
        <v>1</v>
      </c>
      <c r="I131">
        <v>1</v>
      </c>
      <c r="J131">
        <v>0.2</v>
      </c>
      <c r="K131">
        <v>29</v>
      </c>
      <c r="L131" s="9">
        <v>6</v>
      </c>
      <c r="M131" s="9">
        <v>395</v>
      </c>
      <c r="N131" s="14">
        <f t="shared" si="4"/>
        <v>1.0126582278481013</v>
      </c>
    </row>
    <row r="132" spans="1:14" x14ac:dyDescent="0.25">
      <c r="A132" s="4">
        <v>44953</v>
      </c>
      <c r="B132" s="7">
        <v>131</v>
      </c>
      <c r="C132" t="s">
        <v>207</v>
      </c>
      <c r="D132" s="5" t="s">
        <v>261</v>
      </c>
      <c r="E132" s="5"/>
      <c r="F132" t="s">
        <v>209</v>
      </c>
      <c r="G132">
        <v>68</v>
      </c>
      <c r="H132">
        <v>0</v>
      </c>
      <c r="I132">
        <v>1</v>
      </c>
      <c r="J132">
        <v>0.28999999999999998</v>
      </c>
      <c r="K132">
        <v>29</v>
      </c>
      <c r="L132" s="9">
        <v>9</v>
      </c>
      <c r="M132" s="9">
        <v>328</v>
      </c>
      <c r="N132" s="14">
        <f t="shared" si="4"/>
        <v>1.2195121951219512</v>
      </c>
    </row>
    <row r="133" spans="1:14" x14ac:dyDescent="0.25">
      <c r="G133">
        <f>AVERAGE(G38:G132)</f>
        <v>75.659574468085111</v>
      </c>
      <c r="H133">
        <f>SUM(H38:H132)</f>
        <v>38</v>
      </c>
      <c r="J133">
        <f>AVERAGE(J38:J132)</f>
        <v>0.35053763440860231</v>
      </c>
    </row>
    <row r="134" spans="1:14" x14ac:dyDescent="0.25">
      <c r="G134">
        <f>_xlfn.STDEV.P(G38:G132)</f>
        <v>6.7059090987127998</v>
      </c>
      <c r="H134">
        <f>96-H133</f>
        <v>58</v>
      </c>
      <c r="J134">
        <f>_xlfn.STDEV.P(J38:J132)</f>
        <v>0.2163597441906229</v>
      </c>
    </row>
  </sheetData>
  <autoFilter ref="A1:BI132" xr:uid="{EB49411D-BC4C-4CF3-B437-1074E55E1EAA}">
    <sortState xmlns:xlrd2="http://schemas.microsoft.com/office/spreadsheetml/2017/richdata2" ref="A2:BI132">
      <sortCondition ref="F1:F132"/>
    </sortState>
  </autoFilter>
  <conditionalFormatting sqref="C1:C132">
    <cfRule type="containsText" dxfId="22" priority="12" operator="containsText" text="H3">
      <formula>NOT(ISERROR(SEARCH("H3",C1)))</formula>
    </cfRule>
    <cfRule type="containsText" dxfId="21" priority="13" operator="containsText" text="H2">
      <formula>NOT(ISERROR(SEARCH("H2",C1)))</formula>
    </cfRule>
    <cfRule type="containsText" dxfId="20" priority="14" operator="containsText" text="H1">
      <formula>NOT(ISERROR(SEARCH("H1",C1)))</formula>
    </cfRule>
  </conditionalFormatting>
  <conditionalFormatting sqref="F1:I36 F37:F133 I87:I132 O98:O126 H133:N133 F134:N1048576">
    <cfRule type="containsText" dxfId="19" priority="10" operator="containsText" text="No">
      <formula>NOT(ISERROR(SEARCH("No",F1)))</formula>
    </cfRule>
  </conditionalFormatting>
  <conditionalFormatting sqref="F1:I36 I87:I132 O98:O126 H133:N133 F134:N1048576 F37:F133">
    <cfRule type="containsText" dxfId="18" priority="9" operator="containsText" text="YES">
      <formula>NOT(ISERROR(SEARCH("YES",F1)))</formula>
    </cfRule>
  </conditionalFormatting>
  <conditionalFormatting sqref="G2:U132">
    <cfRule type="containsBlanks" dxfId="17" priority="2">
      <formula>LEN(TRIM(G2))=0</formula>
    </cfRule>
  </conditionalFormatting>
  <conditionalFormatting sqref="G1:V1048576">
    <cfRule type="containsText" dxfId="16" priority="1" operator="containsText" text="N/A">
      <formula>NOT(ISERROR(SEARCH("N/A",G1)))</formula>
    </cfRule>
  </conditionalFormatting>
  <conditionalFormatting sqref="J1:J132">
    <cfRule type="cellIs" dxfId="15" priority="3" operator="equal">
      <formula>#N/A</formula>
    </cfRule>
    <cfRule type="cellIs" dxfId="14" priority="4" operator="equal">
      <formula>FALSE</formula>
    </cfRule>
    <cfRule type="cellIs" dxfId="13" priority="5" operator="equal">
      <formula>TRUE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3684-933B-4BF3-9F5E-964710244728}">
  <dimension ref="A1:T109"/>
  <sheetViews>
    <sheetView tabSelected="1" workbookViewId="0">
      <pane xSplit="3" ySplit="1" topLeftCell="D17" activePane="bottomRight" state="frozen"/>
      <selection pane="topRight" activeCell="D1" sqref="D1"/>
      <selection pane="bottomLeft" activeCell="A2" sqref="A2"/>
      <selection pane="bottomRight" activeCell="J22" sqref="J22"/>
    </sheetView>
  </sheetViews>
  <sheetFormatPr defaultRowHeight="15" x14ac:dyDescent="0.25"/>
  <cols>
    <col min="1" max="1" width="11.42578125" customWidth="1"/>
    <col min="9" max="9" width="10.28515625" customWidth="1"/>
  </cols>
  <sheetData>
    <row r="1" spans="1:20" ht="75" x14ac:dyDescent="0.25">
      <c r="A1" s="2" t="s">
        <v>64</v>
      </c>
      <c r="B1" s="6" t="s">
        <v>208</v>
      </c>
      <c r="C1" s="2" t="s">
        <v>65</v>
      </c>
      <c r="D1" t="s">
        <v>262</v>
      </c>
      <c r="E1" t="s">
        <v>265</v>
      </c>
      <c r="F1" s="10" t="s">
        <v>258</v>
      </c>
      <c r="G1" s="10" t="s">
        <v>275</v>
      </c>
      <c r="H1" s="10" t="s">
        <v>272</v>
      </c>
      <c r="I1" s="11" t="s">
        <v>259</v>
      </c>
      <c r="J1" s="13" t="s">
        <v>271</v>
      </c>
      <c r="K1" s="13" t="s">
        <v>273</v>
      </c>
      <c r="L1" t="s">
        <v>256</v>
      </c>
      <c r="M1" t="s">
        <v>274</v>
      </c>
      <c r="N1" s="9" t="s">
        <v>211</v>
      </c>
      <c r="O1" s="9" t="s">
        <v>212</v>
      </c>
      <c r="P1" s="9" t="s">
        <v>213</v>
      </c>
      <c r="Q1" s="9" t="s">
        <v>214</v>
      </c>
      <c r="R1" s="9" t="s">
        <v>215</v>
      </c>
      <c r="S1" s="9" t="s">
        <v>216</v>
      </c>
      <c r="T1" s="9" t="s">
        <v>217</v>
      </c>
    </row>
    <row r="2" spans="1:20" x14ac:dyDescent="0.25">
      <c r="A2" s="3">
        <v>43699</v>
      </c>
      <c r="B2" s="7">
        <v>1</v>
      </c>
      <c r="C2" t="s">
        <v>66</v>
      </c>
      <c r="D2" t="s">
        <v>67</v>
      </c>
      <c r="E2" t="s">
        <v>209</v>
      </c>
      <c r="F2">
        <v>33</v>
      </c>
      <c r="G2">
        <v>1</v>
      </c>
      <c r="H2">
        <v>1</v>
      </c>
      <c r="I2">
        <v>0.86</v>
      </c>
      <c r="J2">
        <v>30</v>
      </c>
      <c r="K2">
        <v>12</v>
      </c>
      <c r="L2">
        <v>331</v>
      </c>
      <c r="M2" s="14">
        <v>1.2084592145015105</v>
      </c>
    </row>
    <row r="3" spans="1:20" x14ac:dyDescent="0.25">
      <c r="A3" s="4">
        <v>43719</v>
      </c>
      <c r="B3" s="8">
        <v>2</v>
      </c>
      <c r="C3" t="s">
        <v>68</v>
      </c>
      <c r="E3" t="s">
        <v>209</v>
      </c>
      <c r="F3">
        <v>30</v>
      </c>
      <c r="G3">
        <v>1</v>
      </c>
      <c r="H3">
        <v>1</v>
      </c>
      <c r="I3">
        <v>0.87</v>
      </c>
      <c r="J3">
        <v>29</v>
      </c>
      <c r="K3">
        <v>12</v>
      </c>
      <c r="L3">
        <v>306</v>
      </c>
      <c r="M3" s="14">
        <v>1.3071895424836601</v>
      </c>
    </row>
    <row r="4" spans="1:20" x14ac:dyDescent="0.25">
      <c r="A4" s="4">
        <v>43755</v>
      </c>
      <c r="B4" s="7">
        <v>3</v>
      </c>
      <c r="C4" t="s">
        <v>69</v>
      </c>
      <c r="E4" t="s">
        <v>209</v>
      </c>
      <c r="F4">
        <v>22</v>
      </c>
      <c r="G4">
        <v>1</v>
      </c>
      <c r="H4">
        <v>1</v>
      </c>
      <c r="I4">
        <v>0.91</v>
      </c>
      <c r="J4">
        <v>30</v>
      </c>
      <c r="K4">
        <v>12</v>
      </c>
      <c r="L4">
        <v>348</v>
      </c>
      <c r="M4" s="14">
        <v>1.1494252873563218</v>
      </c>
    </row>
    <row r="5" spans="1:20" x14ac:dyDescent="0.25">
      <c r="A5" s="4">
        <v>43731</v>
      </c>
      <c r="B5" s="8">
        <v>4</v>
      </c>
      <c r="C5" t="s">
        <v>70</v>
      </c>
      <c r="E5" t="s">
        <v>209</v>
      </c>
      <c r="F5">
        <v>21</v>
      </c>
      <c r="G5">
        <v>0</v>
      </c>
      <c r="H5">
        <v>1</v>
      </c>
      <c r="I5">
        <v>0.67</v>
      </c>
      <c r="J5">
        <v>30</v>
      </c>
      <c r="K5">
        <v>12</v>
      </c>
      <c r="L5">
        <v>370</v>
      </c>
      <c r="M5" s="14">
        <v>1.0810810810810811</v>
      </c>
    </row>
    <row r="6" spans="1:20" x14ac:dyDescent="0.25">
      <c r="A6" s="4">
        <v>43805</v>
      </c>
      <c r="B6" s="7">
        <v>5</v>
      </c>
      <c r="C6" t="s">
        <v>71</v>
      </c>
      <c r="E6" t="s">
        <v>209</v>
      </c>
      <c r="F6">
        <v>20</v>
      </c>
      <c r="G6">
        <v>0</v>
      </c>
      <c r="H6">
        <v>1</v>
      </c>
      <c r="I6">
        <v>0.78</v>
      </c>
      <c r="J6">
        <v>27</v>
      </c>
      <c r="K6">
        <v>12</v>
      </c>
      <c r="L6">
        <v>356</v>
      </c>
      <c r="M6" s="14">
        <v>1.1235955056179776</v>
      </c>
    </row>
    <row r="7" spans="1:20" x14ac:dyDescent="0.25">
      <c r="A7" s="4">
        <v>43728</v>
      </c>
      <c r="B7" s="8">
        <v>6</v>
      </c>
      <c r="C7" t="s">
        <v>72</v>
      </c>
      <c r="E7" t="s">
        <v>209</v>
      </c>
      <c r="F7">
        <v>26</v>
      </c>
      <c r="G7">
        <v>1</v>
      </c>
      <c r="H7">
        <v>1</v>
      </c>
      <c r="I7">
        <v>1.2</v>
      </c>
      <c r="J7">
        <v>27</v>
      </c>
      <c r="K7">
        <v>12</v>
      </c>
      <c r="L7">
        <v>282</v>
      </c>
      <c r="M7" s="14">
        <v>1.4184397163120568</v>
      </c>
    </row>
    <row r="8" spans="1:20" x14ac:dyDescent="0.25">
      <c r="A8" s="4">
        <v>43732</v>
      </c>
      <c r="B8" s="7">
        <v>7</v>
      </c>
      <c r="C8" t="s">
        <v>73</v>
      </c>
      <c r="E8" t="s">
        <v>209</v>
      </c>
      <c r="F8">
        <v>23</v>
      </c>
      <c r="G8">
        <v>0</v>
      </c>
      <c r="H8">
        <v>1</v>
      </c>
      <c r="I8">
        <v>0.7</v>
      </c>
      <c r="J8">
        <v>27</v>
      </c>
      <c r="K8">
        <v>12</v>
      </c>
      <c r="L8">
        <v>300</v>
      </c>
      <c r="M8" s="14">
        <v>1.3333333333333333</v>
      </c>
    </row>
    <row r="9" spans="1:20" x14ac:dyDescent="0.25">
      <c r="A9" s="4">
        <v>43845</v>
      </c>
      <c r="B9" s="8">
        <v>8</v>
      </c>
      <c r="C9" t="s">
        <v>74</v>
      </c>
      <c r="E9" t="s">
        <v>209</v>
      </c>
      <c r="F9">
        <v>23</v>
      </c>
      <c r="G9">
        <v>1</v>
      </c>
      <c r="H9">
        <v>1</v>
      </c>
      <c r="I9">
        <v>0.92</v>
      </c>
      <c r="J9">
        <v>28</v>
      </c>
      <c r="K9">
        <v>12</v>
      </c>
      <c r="L9">
        <v>274</v>
      </c>
      <c r="M9" s="14">
        <v>1.4598540145985401</v>
      </c>
    </row>
    <row r="10" spans="1:20" x14ac:dyDescent="0.25">
      <c r="A10" s="4">
        <v>44539</v>
      </c>
      <c r="B10" s="7">
        <v>9</v>
      </c>
      <c r="C10" t="s">
        <v>75</v>
      </c>
      <c r="E10" t="s">
        <v>209</v>
      </c>
      <c r="F10">
        <v>24</v>
      </c>
      <c r="G10">
        <v>1</v>
      </c>
      <c r="H10">
        <v>1</v>
      </c>
      <c r="I10">
        <v>0.69</v>
      </c>
      <c r="J10">
        <v>29</v>
      </c>
      <c r="K10">
        <v>12</v>
      </c>
      <c r="L10">
        <v>448</v>
      </c>
      <c r="M10" s="14">
        <v>0.8928571428571429</v>
      </c>
    </row>
    <row r="11" spans="1:20" x14ac:dyDescent="0.25">
      <c r="A11" s="4">
        <v>44264</v>
      </c>
      <c r="B11" s="8">
        <v>10</v>
      </c>
      <c r="C11" t="s">
        <v>76</v>
      </c>
      <c r="E11" t="s">
        <v>209</v>
      </c>
      <c r="F11">
        <v>20</v>
      </c>
      <c r="G11">
        <v>0</v>
      </c>
      <c r="H11">
        <v>1</v>
      </c>
      <c r="I11">
        <v>0.75</v>
      </c>
      <c r="J11">
        <v>30</v>
      </c>
      <c r="K11">
        <v>12</v>
      </c>
      <c r="L11">
        <v>341</v>
      </c>
      <c r="M11" s="14">
        <v>1.1730205278592376</v>
      </c>
    </row>
    <row r="12" spans="1:20" x14ac:dyDescent="0.25">
      <c r="A12" s="4">
        <v>44348</v>
      </c>
      <c r="B12" s="7">
        <v>11</v>
      </c>
      <c r="C12" t="s">
        <v>77</v>
      </c>
      <c r="E12" t="s">
        <v>209</v>
      </c>
      <c r="F12">
        <v>25</v>
      </c>
      <c r="G12">
        <v>0</v>
      </c>
      <c r="H12">
        <v>1</v>
      </c>
      <c r="I12">
        <v>0.51</v>
      </c>
      <c r="J12">
        <v>29</v>
      </c>
      <c r="K12">
        <v>12</v>
      </c>
      <c r="L12">
        <v>368</v>
      </c>
      <c r="M12" s="14">
        <v>1.0869565217391304</v>
      </c>
    </row>
    <row r="13" spans="1:20" x14ac:dyDescent="0.25">
      <c r="A13" s="4">
        <v>44083</v>
      </c>
      <c r="B13" s="8">
        <v>12</v>
      </c>
      <c r="C13" t="s">
        <v>78</v>
      </c>
      <c r="E13" t="s">
        <v>209</v>
      </c>
      <c r="F13">
        <v>21</v>
      </c>
      <c r="G13">
        <v>1</v>
      </c>
      <c r="H13">
        <v>1</v>
      </c>
      <c r="I13">
        <v>0.76</v>
      </c>
      <c r="J13">
        <v>28</v>
      </c>
      <c r="K13">
        <v>12</v>
      </c>
      <c r="L13">
        <v>359</v>
      </c>
      <c r="M13" s="14">
        <v>1.1142061281337048</v>
      </c>
    </row>
    <row r="14" spans="1:20" x14ac:dyDescent="0.25">
      <c r="A14" s="4">
        <v>44133</v>
      </c>
      <c r="B14" s="7">
        <v>13</v>
      </c>
      <c r="C14" t="s">
        <v>79</v>
      </c>
      <c r="E14" t="s">
        <v>209</v>
      </c>
      <c r="F14">
        <v>21</v>
      </c>
      <c r="G14">
        <v>0</v>
      </c>
      <c r="H14">
        <v>1</v>
      </c>
      <c r="I14">
        <v>0.59</v>
      </c>
      <c r="J14">
        <v>30</v>
      </c>
      <c r="K14">
        <v>12</v>
      </c>
      <c r="L14">
        <v>335</v>
      </c>
      <c r="M14" s="14">
        <v>1.1940298507462686</v>
      </c>
    </row>
    <row r="15" spans="1:20" x14ac:dyDescent="0.25">
      <c r="A15" s="4">
        <v>44145</v>
      </c>
      <c r="B15" s="8">
        <v>14</v>
      </c>
      <c r="C15" t="s">
        <v>80</v>
      </c>
      <c r="E15" t="s">
        <v>209</v>
      </c>
      <c r="F15">
        <v>22</v>
      </c>
      <c r="G15">
        <v>0</v>
      </c>
      <c r="H15">
        <v>1</v>
      </c>
      <c r="I15">
        <v>0.68</v>
      </c>
      <c r="J15">
        <v>26</v>
      </c>
      <c r="K15">
        <v>12</v>
      </c>
      <c r="L15">
        <v>383</v>
      </c>
      <c r="M15" s="14">
        <v>1.0443864229765014</v>
      </c>
    </row>
    <row r="16" spans="1:20" x14ac:dyDescent="0.25">
      <c r="A16" s="4">
        <v>44180</v>
      </c>
      <c r="B16" s="8">
        <v>16</v>
      </c>
      <c r="C16" t="s">
        <v>83</v>
      </c>
      <c r="E16" t="s">
        <v>209</v>
      </c>
      <c r="F16">
        <v>20</v>
      </c>
      <c r="G16">
        <v>0</v>
      </c>
      <c r="H16">
        <v>1</v>
      </c>
      <c r="I16">
        <v>0.91</v>
      </c>
      <c r="J16">
        <v>28</v>
      </c>
      <c r="K16">
        <v>12</v>
      </c>
      <c r="L16">
        <v>321</v>
      </c>
      <c r="M16" s="14">
        <v>1.2461059190031152</v>
      </c>
    </row>
    <row r="17" spans="1:13" x14ac:dyDescent="0.25">
      <c r="A17" s="4">
        <v>44140</v>
      </c>
      <c r="B17" s="7">
        <v>17</v>
      </c>
      <c r="C17" t="s">
        <v>84</v>
      </c>
      <c r="E17" t="s">
        <v>209</v>
      </c>
      <c r="F17">
        <v>20</v>
      </c>
      <c r="G17">
        <v>0</v>
      </c>
      <c r="H17">
        <v>1</v>
      </c>
      <c r="I17">
        <v>0.8</v>
      </c>
      <c r="J17">
        <v>27</v>
      </c>
      <c r="K17">
        <v>12</v>
      </c>
      <c r="L17">
        <v>317</v>
      </c>
      <c r="M17" s="14">
        <v>1.2618296529968454</v>
      </c>
    </row>
    <row r="18" spans="1:13" x14ac:dyDescent="0.25">
      <c r="A18" s="4">
        <v>44616</v>
      </c>
      <c r="B18" s="8">
        <v>18</v>
      </c>
      <c r="C18" t="s">
        <v>85</v>
      </c>
      <c r="E18" t="s">
        <v>209</v>
      </c>
      <c r="F18">
        <v>21</v>
      </c>
      <c r="G18">
        <v>0</v>
      </c>
      <c r="H18">
        <v>1</v>
      </c>
      <c r="I18">
        <v>0.5</v>
      </c>
      <c r="J18">
        <v>28</v>
      </c>
      <c r="K18">
        <v>12</v>
      </c>
      <c r="L18">
        <v>390</v>
      </c>
      <c r="M18" s="14">
        <v>1.0256410256410255</v>
      </c>
    </row>
    <row r="19" spans="1:13" x14ac:dyDescent="0.25">
      <c r="A19" s="4">
        <v>44803</v>
      </c>
      <c r="B19" s="7">
        <v>19</v>
      </c>
      <c r="C19" t="s">
        <v>86</v>
      </c>
      <c r="E19" t="s">
        <v>209</v>
      </c>
      <c r="F19">
        <v>22</v>
      </c>
      <c r="G19">
        <v>1</v>
      </c>
      <c r="H19">
        <v>1</v>
      </c>
      <c r="I19">
        <v>0.6</v>
      </c>
      <c r="J19">
        <v>25</v>
      </c>
      <c r="K19">
        <v>12</v>
      </c>
      <c r="L19">
        <v>333</v>
      </c>
      <c r="M19" s="14">
        <v>1.2012012012012012</v>
      </c>
    </row>
    <row r="20" spans="1:13" x14ac:dyDescent="0.25">
      <c r="A20" s="4">
        <v>44770</v>
      </c>
      <c r="B20" s="8">
        <v>20</v>
      </c>
      <c r="C20" t="s">
        <v>87</v>
      </c>
      <c r="E20" t="s">
        <v>209</v>
      </c>
      <c r="F20">
        <v>26</v>
      </c>
      <c r="G20">
        <v>1</v>
      </c>
      <c r="H20">
        <v>1</v>
      </c>
      <c r="I20">
        <v>0.54</v>
      </c>
      <c r="J20">
        <v>27</v>
      </c>
      <c r="K20">
        <v>12</v>
      </c>
      <c r="L20">
        <v>346</v>
      </c>
      <c r="M20" s="14">
        <v>1.1560693641618498</v>
      </c>
    </row>
    <row r="21" spans="1:13" x14ac:dyDescent="0.25">
      <c r="A21" s="4">
        <v>44743</v>
      </c>
      <c r="B21" s="7">
        <v>21</v>
      </c>
      <c r="C21" t="s">
        <v>88</v>
      </c>
      <c r="E21" t="s">
        <v>209</v>
      </c>
      <c r="F21">
        <v>20</v>
      </c>
      <c r="G21">
        <v>1</v>
      </c>
      <c r="H21" s="12">
        <v>2</v>
      </c>
      <c r="I21">
        <v>0.61</v>
      </c>
      <c r="J21">
        <v>29</v>
      </c>
      <c r="K21">
        <v>12</v>
      </c>
      <c r="L21">
        <v>270</v>
      </c>
      <c r="M21" s="14">
        <v>1.4814814814814814</v>
      </c>
    </row>
    <row r="22" spans="1:13" x14ac:dyDescent="0.25">
      <c r="A22" s="4">
        <v>44735</v>
      </c>
      <c r="B22" s="8">
        <v>22</v>
      </c>
      <c r="C22" t="s">
        <v>89</v>
      </c>
      <c r="E22" t="s">
        <v>209</v>
      </c>
      <c r="F22">
        <v>24</v>
      </c>
      <c r="G22">
        <v>0</v>
      </c>
      <c r="H22">
        <v>1</v>
      </c>
      <c r="I22">
        <v>0.54</v>
      </c>
      <c r="L22">
        <v>303</v>
      </c>
      <c r="M22" s="14">
        <v>1.3201320132013201</v>
      </c>
    </row>
    <row r="23" spans="1:13" x14ac:dyDescent="0.25">
      <c r="A23" s="4">
        <v>44740</v>
      </c>
      <c r="B23" s="7">
        <v>23</v>
      </c>
      <c r="C23" t="s">
        <v>90</v>
      </c>
      <c r="E23" t="s">
        <v>209</v>
      </c>
      <c r="F23">
        <v>22</v>
      </c>
      <c r="G23">
        <v>1</v>
      </c>
      <c r="H23">
        <v>1</v>
      </c>
      <c r="I23">
        <v>0.34</v>
      </c>
      <c r="J23" s="9"/>
      <c r="K23" s="9"/>
      <c r="L23" s="9"/>
      <c r="M23" s="14"/>
    </row>
    <row r="24" spans="1:13" x14ac:dyDescent="0.25">
      <c r="A24" s="4">
        <v>44865</v>
      </c>
      <c r="B24" s="8">
        <v>24</v>
      </c>
      <c r="C24" t="s">
        <v>91</v>
      </c>
      <c r="E24" t="s">
        <v>209</v>
      </c>
      <c r="F24">
        <v>24</v>
      </c>
      <c r="G24">
        <v>1</v>
      </c>
      <c r="H24" s="12">
        <v>2</v>
      </c>
      <c r="I24">
        <v>0.64</v>
      </c>
      <c r="J24" s="9"/>
      <c r="K24" s="9"/>
      <c r="L24" s="9">
        <v>331</v>
      </c>
      <c r="M24" s="14">
        <v>1.2084592145015105</v>
      </c>
    </row>
    <row r="25" spans="1:13" x14ac:dyDescent="0.25">
      <c r="A25" s="4">
        <v>44837</v>
      </c>
      <c r="B25" s="7">
        <v>25</v>
      </c>
      <c r="C25" t="s">
        <v>92</v>
      </c>
      <c r="E25" t="s">
        <v>209</v>
      </c>
      <c r="F25">
        <v>26</v>
      </c>
      <c r="G25">
        <v>0</v>
      </c>
      <c r="H25">
        <v>1</v>
      </c>
      <c r="I25">
        <v>0.69</v>
      </c>
      <c r="J25" s="9"/>
      <c r="K25" s="9"/>
      <c r="L25" s="9">
        <v>311</v>
      </c>
      <c r="M25" s="14">
        <v>1.2861736334405145</v>
      </c>
    </row>
    <row r="26" spans="1:13" x14ac:dyDescent="0.25">
      <c r="A26" s="4">
        <v>44852</v>
      </c>
      <c r="B26" s="8">
        <v>26</v>
      </c>
      <c r="C26" t="s">
        <v>93</v>
      </c>
      <c r="E26" t="s">
        <v>209</v>
      </c>
      <c r="F26">
        <v>26</v>
      </c>
      <c r="G26">
        <v>1</v>
      </c>
      <c r="H26">
        <v>1</v>
      </c>
      <c r="I26">
        <v>0.82</v>
      </c>
      <c r="J26" s="9"/>
      <c r="K26" s="9"/>
      <c r="L26" s="9">
        <v>288</v>
      </c>
      <c r="M26" s="14">
        <v>1.3888888888888888</v>
      </c>
    </row>
    <row r="27" spans="1:13" x14ac:dyDescent="0.25">
      <c r="A27" s="4">
        <v>44858</v>
      </c>
      <c r="B27" s="7">
        <v>27</v>
      </c>
      <c r="C27" t="s">
        <v>94</v>
      </c>
      <c r="E27" t="s">
        <v>209</v>
      </c>
      <c r="F27">
        <v>30</v>
      </c>
      <c r="G27">
        <v>0</v>
      </c>
      <c r="H27">
        <v>1</v>
      </c>
      <c r="I27">
        <v>0.49</v>
      </c>
      <c r="J27" s="9"/>
      <c r="K27" s="9"/>
      <c r="L27" s="9">
        <v>291</v>
      </c>
      <c r="M27" s="14">
        <v>1.3745704467353952</v>
      </c>
    </row>
    <row r="28" spans="1:13" x14ac:dyDescent="0.25">
      <c r="A28" s="4">
        <v>44846</v>
      </c>
      <c r="B28" s="8">
        <v>28</v>
      </c>
      <c r="C28" t="s">
        <v>95</v>
      </c>
      <c r="E28" t="s">
        <v>209</v>
      </c>
      <c r="F28">
        <v>28</v>
      </c>
      <c r="G28">
        <v>0</v>
      </c>
      <c r="H28">
        <v>1</v>
      </c>
      <c r="I28">
        <v>0.64</v>
      </c>
      <c r="J28" s="9"/>
      <c r="K28" s="9"/>
      <c r="L28" s="9">
        <v>349</v>
      </c>
      <c r="M28" s="14">
        <v>1.1461318051575931</v>
      </c>
    </row>
    <row r="29" spans="1:13" x14ac:dyDescent="0.25">
      <c r="A29" s="4">
        <v>44859</v>
      </c>
      <c r="B29" s="7">
        <v>29</v>
      </c>
      <c r="C29" t="s">
        <v>96</v>
      </c>
      <c r="E29" t="s">
        <v>209</v>
      </c>
      <c r="F29">
        <v>25</v>
      </c>
      <c r="G29">
        <v>1</v>
      </c>
      <c r="H29">
        <v>1</v>
      </c>
      <c r="I29">
        <v>0.61</v>
      </c>
      <c r="J29" s="9"/>
      <c r="K29" s="9"/>
      <c r="L29" s="9">
        <v>289</v>
      </c>
      <c r="M29" s="14">
        <v>1.3840830449826989</v>
      </c>
    </row>
    <row r="30" spans="1:13" x14ac:dyDescent="0.25">
      <c r="A30" s="4">
        <v>44887</v>
      </c>
      <c r="B30" s="8">
        <v>30</v>
      </c>
      <c r="C30" t="s">
        <v>97</v>
      </c>
      <c r="E30" t="s">
        <v>209</v>
      </c>
      <c r="F30">
        <v>35</v>
      </c>
      <c r="G30">
        <v>1</v>
      </c>
      <c r="H30">
        <v>1</v>
      </c>
      <c r="I30">
        <v>0.77</v>
      </c>
      <c r="J30" s="9"/>
      <c r="K30" s="9"/>
      <c r="L30" s="9">
        <v>271</v>
      </c>
      <c r="M30" s="14">
        <v>1.4760147601476015</v>
      </c>
    </row>
    <row r="31" spans="1:13" x14ac:dyDescent="0.25">
      <c r="A31" s="4">
        <v>44880</v>
      </c>
      <c r="B31" s="8">
        <v>32</v>
      </c>
      <c r="C31" t="s">
        <v>100</v>
      </c>
      <c r="E31" t="s">
        <v>209</v>
      </c>
      <c r="F31">
        <v>28</v>
      </c>
      <c r="G31">
        <v>0</v>
      </c>
      <c r="H31" s="12">
        <v>2</v>
      </c>
      <c r="I31">
        <v>0.63</v>
      </c>
      <c r="J31" s="9"/>
      <c r="K31" s="9"/>
      <c r="L31" s="9">
        <v>339</v>
      </c>
      <c r="M31" s="14">
        <v>1.1799410029498525</v>
      </c>
    </row>
    <row r="32" spans="1:13" x14ac:dyDescent="0.25">
      <c r="A32" s="4">
        <v>44901</v>
      </c>
      <c r="B32" s="8">
        <v>34</v>
      </c>
      <c r="C32" t="s">
        <v>103</v>
      </c>
      <c r="E32" t="s">
        <v>209</v>
      </c>
      <c r="F32">
        <v>27</v>
      </c>
      <c r="G32">
        <v>0</v>
      </c>
      <c r="H32">
        <v>1</v>
      </c>
      <c r="I32">
        <v>0.77</v>
      </c>
      <c r="J32" s="9"/>
      <c r="K32" s="9"/>
      <c r="L32" s="9">
        <v>275</v>
      </c>
      <c r="M32" s="14">
        <v>1.4545454545454546</v>
      </c>
    </row>
    <row r="33" spans="1:13" x14ac:dyDescent="0.25">
      <c r="A33" s="4">
        <v>44897</v>
      </c>
      <c r="B33" s="7">
        <v>35</v>
      </c>
      <c r="C33" t="s">
        <v>104</v>
      </c>
      <c r="E33" t="s">
        <v>209</v>
      </c>
      <c r="F33">
        <v>20</v>
      </c>
      <c r="G33">
        <v>1</v>
      </c>
      <c r="H33">
        <v>1</v>
      </c>
      <c r="I33">
        <v>0.7</v>
      </c>
      <c r="J33" s="9"/>
      <c r="K33" s="9"/>
      <c r="L33" s="9">
        <v>285</v>
      </c>
      <c r="M33" s="14">
        <v>1.4035087719298245</v>
      </c>
    </row>
    <row r="34" spans="1:13" x14ac:dyDescent="0.25">
      <c r="A34" s="4">
        <v>43781</v>
      </c>
      <c r="B34" s="8">
        <v>36</v>
      </c>
      <c r="C34" t="s">
        <v>105</v>
      </c>
      <c r="E34" t="s">
        <v>209</v>
      </c>
      <c r="F34">
        <v>81</v>
      </c>
      <c r="G34">
        <v>0</v>
      </c>
      <c r="H34">
        <v>1</v>
      </c>
      <c r="I34">
        <v>0.75</v>
      </c>
      <c r="J34">
        <v>28</v>
      </c>
      <c r="K34">
        <v>11</v>
      </c>
      <c r="L34">
        <v>363</v>
      </c>
      <c r="M34" s="14">
        <v>1.1019283746556474</v>
      </c>
    </row>
    <row r="35" spans="1:13" x14ac:dyDescent="0.25">
      <c r="A35" s="4">
        <v>43853</v>
      </c>
      <c r="B35" s="7">
        <v>37</v>
      </c>
      <c r="C35" t="s">
        <v>107</v>
      </c>
      <c r="D35" t="s">
        <v>268</v>
      </c>
      <c r="E35" t="s">
        <v>209</v>
      </c>
      <c r="F35">
        <v>78</v>
      </c>
      <c r="G35">
        <v>1</v>
      </c>
      <c r="H35">
        <v>1</v>
      </c>
      <c r="I35">
        <v>0.69</v>
      </c>
      <c r="J35">
        <v>27</v>
      </c>
      <c r="K35">
        <v>10</v>
      </c>
      <c r="L35">
        <v>400</v>
      </c>
      <c r="M35" s="14">
        <v>1</v>
      </c>
    </row>
    <row r="36" spans="1:13" x14ac:dyDescent="0.25">
      <c r="A36" s="4">
        <v>43852</v>
      </c>
      <c r="B36" s="8">
        <v>38</v>
      </c>
      <c r="C36" t="s">
        <v>109</v>
      </c>
      <c r="E36" t="s">
        <v>209</v>
      </c>
      <c r="F36">
        <v>84</v>
      </c>
      <c r="G36">
        <v>1</v>
      </c>
      <c r="H36">
        <v>1</v>
      </c>
      <c r="I36">
        <v>0.32</v>
      </c>
      <c r="J36">
        <v>27</v>
      </c>
      <c r="K36">
        <v>10</v>
      </c>
      <c r="L36">
        <v>333</v>
      </c>
      <c r="M36" s="14">
        <v>1.2012012012012012</v>
      </c>
    </row>
    <row r="37" spans="1:13" x14ac:dyDescent="0.25">
      <c r="A37" s="4">
        <v>43754</v>
      </c>
      <c r="B37" s="8">
        <v>40</v>
      </c>
      <c r="C37" t="s">
        <v>263</v>
      </c>
      <c r="D37" s="5"/>
      <c r="E37" t="s">
        <v>209</v>
      </c>
      <c r="F37">
        <v>74</v>
      </c>
      <c r="G37">
        <v>1</v>
      </c>
      <c r="H37">
        <v>1</v>
      </c>
      <c r="I37">
        <v>0.94</v>
      </c>
      <c r="J37">
        <v>29</v>
      </c>
      <c r="K37">
        <v>12</v>
      </c>
      <c r="L37">
        <v>293</v>
      </c>
      <c r="M37" s="14">
        <v>1.3651877133105803</v>
      </c>
    </row>
    <row r="38" spans="1:13" x14ac:dyDescent="0.25">
      <c r="A38" s="4">
        <v>43812</v>
      </c>
      <c r="B38" s="7">
        <v>41</v>
      </c>
      <c r="C38" t="s">
        <v>112</v>
      </c>
      <c r="E38" t="s">
        <v>209</v>
      </c>
      <c r="F38">
        <v>72</v>
      </c>
      <c r="G38">
        <v>0</v>
      </c>
      <c r="H38">
        <v>1</v>
      </c>
      <c r="I38">
        <v>0.65</v>
      </c>
      <c r="J38">
        <v>29</v>
      </c>
      <c r="K38">
        <v>11</v>
      </c>
      <c r="L38">
        <v>514</v>
      </c>
      <c r="M38" s="14">
        <v>0.77821011673151752</v>
      </c>
    </row>
    <row r="39" spans="1:13" x14ac:dyDescent="0.25">
      <c r="A39" s="4">
        <v>43735</v>
      </c>
      <c r="B39" s="8">
        <v>42</v>
      </c>
      <c r="C39" t="s">
        <v>113</v>
      </c>
      <c r="E39" t="s">
        <v>209</v>
      </c>
      <c r="F39">
        <v>73</v>
      </c>
      <c r="G39">
        <v>0</v>
      </c>
      <c r="H39">
        <v>1</v>
      </c>
      <c r="I39">
        <v>0.4</v>
      </c>
      <c r="J39">
        <v>26</v>
      </c>
      <c r="K39">
        <v>12</v>
      </c>
      <c r="L39">
        <v>296</v>
      </c>
      <c r="M39" s="14">
        <v>1.3513513513513513</v>
      </c>
    </row>
    <row r="40" spans="1:13" x14ac:dyDescent="0.25">
      <c r="A40" s="4">
        <v>43749</v>
      </c>
      <c r="B40" s="7">
        <v>43</v>
      </c>
      <c r="C40" t="s">
        <v>114</v>
      </c>
      <c r="E40" t="s">
        <v>209</v>
      </c>
      <c r="F40">
        <v>74</v>
      </c>
      <c r="G40">
        <v>0</v>
      </c>
      <c r="H40">
        <v>1</v>
      </c>
      <c r="I40">
        <v>0.59</v>
      </c>
      <c r="J40">
        <v>27</v>
      </c>
      <c r="K40">
        <v>11</v>
      </c>
      <c r="L40">
        <v>429</v>
      </c>
      <c r="M40" s="14">
        <v>0.93240093240093236</v>
      </c>
    </row>
    <row r="41" spans="1:13" x14ac:dyDescent="0.25">
      <c r="A41" s="4">
        <v>43760</v>
      </c>
      <c r="B41" s="8">
        <v>44</v>
      </c>
      <c r="C41" t="s">
        <v>264</v>
      </c>
      <c r="D41" s="5"/>
      <c r="E41" t="s">
        <v>209</v>
      </c>
      <c r="F41">
        <v>77</v>
      </c>
      <c r="G41">
        <v>1</v>
      </c>
      <c r="H41">
        <v>1</v>
      </c>
      <c r="I41">
        <v>0.45</v>
      </c>
      <c r="J41">
        <v>27</v>
      </c>
      <c r="K41">
        <v>11</v>
      </c>
      <c r="L41">
        <v>239</v>
      </c>
      <c r="M41" s="14">
        <v>1.6736401673640167</v>
      </c>
    </row>
    <row r="42" spans="1:13" x14ac:dyDescent="0.25">
      <c r="A42" s="4">
        <v>43782</v>
      </c>
      <c r="B42" s="7">
        <v>45</v>
      </c>
      <c r="C42" t="s">
        <v>115</v>
      </c>
      <c r="E42" t="s">
        <v>209</v>
      </c>
      <c r="F42">
        <v>76</v>
      </c>
      <c r="G42">
        <v>1</v>
      </c>
      <c r="H42">
        <v>1</v>
      </c>
      <c r="I42">
        <v>0.75</v>
      </c>
      <c r="J42">
        <v>27</v>
      </c>
      <c r="K42">
        <v>12</v>
      </c>
      <c r="L42">
        <v>363</v>
      </c>
      <c r="M42" s="14">
        <v>1.1019283746556474</v>
      </c>
    </row>
    <row r="43" spans="1:13" x14ac:dyDescent="0.25">
      <c r="A43" s="4">
        <v>43761</v>
      </c>
      <c r="B43" s="8">
        <v>46</v>
      </c>
      <c r="C43" t="s">
        <v>116</v>
      </c>
      <c r="E43" t="s">
        <v>209</v>
      </c>
      <c r="F43">
        <v>71</v>
      </c>
      <c r="G43">
        <v>1</v>
      </c>
      <c r="H43">
        <v>1</v>
      </c>
      <c r="I43">
        <v>0.42</v>
      </c>
      <c r="J43">
        <v>28</v>
      </c>
      <c r="K43">
        <v>12</v>
      </c>
      <c r="L43">
        <v>321</v>
      </c>
      <c r="M43" s="14">
        <v>1.2461059190031152</v>
      </c>
    </row>
    <row r="44" spans="1:13" x14ac:dyDescent="0.25">
      <c r="A44" s="4">
        <v>43775</v>
      </c>
      <c r="B44" s="7">
        <v>47</v>
      </c>
      <c r="C44" t="s">
        <v>117</v>
      </c>
      <c r="E44" t="s">
        <v>209</v>
      </c>
      <c r="F44">
        <v>77</v>
      </c>
      <c r="G44">
        <v>1</v>
      </c>
      <c r="H44">
        <v>1</v>
      </c>
      <c r="I44">
        <v>0.75</v>
      </c>
      <c r="J44">
        <v>29</v>
      </c>
      <c r="K44">
        <v>12</v>
      </c>
      <c r="L44">
        <v>317</v>
      </c>
      <c r="M44" s="14">
        <v>1.2618296529968454</v>
      </c>
    </row>
    <row r="45" spans="1:13" x14ac:dyDescent="0.25">
      <c r="A45" s="4">
        <v>43788</v>
      </c>
      <c r="B45" s="8">
        <v>48</v>
      </c>
      <c r="C45" t="s">
        <v>118</v>
      </c>
      <c r="E45" t="s">
        <v>209</v>
      </c>
      <c r="F45">
        <v>82</v>
      </c>
      <c r="G45">
        <v>1</v>
      </c>
      <c r="H45">
        <v>1</v>
      </c>
      <c r="I45">
        <v>0.72</v>
      </c>
      <c r="J45">
        <v>30</v>
      </c>
      <c r="K45">
        <v>10</v>
      </c>
      <c r="L45">
        <v>316</v>
      </c>
      <c r="M45" s="14">
        <v>1.2658227848101267</v>
      </c>
    </row>
    <row r="46" spans="1:13" x14ac:dyDescent="0.25">
      <c r="A46" s="4">
        <v>43774</v>
      </c>
      <c r="B46" s="7">
        <v>49</v>
      </c>
      <c r="C46" t="s">
        <v>119</v>
      </c>
      <c r="E46" t="s">
        <v>209</v>
      </c>
      <c r="F46">
        <v>79</v>
      </c>
      <c r="G46">
        <v>1</v>
      </c>
      <c r="H46">
        <v>1</v>
      </c>
      <c r="I46">
        <v>0.41</v>
      </c>
      <c r="J46">
        <v>25</v>
      </c>
      <c r="K46">
        <v>11</v>
      </c>
      <c r="L46">
        <v>465</v>
      </c>
      <c r="M46" s="14">
        <v>0.86021505376344087</v>
      </c>
    </row>
    <row r="47" spans="1:13" x14ac:dyDescent="0.25">
      <c r="A47" s="4">
        <v>43789</v>
      </c>
      <c r="B47" s="8">
        <v>50</v>
      </c>
      <c r="C47" t="s">
        <v>120</v>
      </c>
      <c r="E47" t="s">
        <v>209</v>
      </c>
      <c r="F47">
        <v>75</v>
      </c>
      <c r="G47">
        <v>0</v>
      </c>
      <c r="H47">
        <v>2</v>
      </c>
      <c r="I47">
        <v>0.5</v>
      </c>
      <c r="J47">
        <v>27</v>
      </c>
      <c r="K47">
        <v>10</v>
      </c>
      <c r="L47">
        <v>476</v>
      </c>
      <c r="M47" s="14">
        <v>0.84033613445378152</v>
      </c>
    </row>
    <row r="48" spans="1:13" x14ac:dyDescent="0.25">
      <c r="A48" s="4">
        <v>43838</v>
      </c>
      <c r="B48" s="7">
        <v>51</v>
      </c>
      <c r="C48" t="s">
        <v>121</v>
      </c>
      <c r="E48" t="s">
        <v>209</v>
      </c>
      <c r="F48">
        <v>81</v>
      </c>
      <c r="G48">
        <v>1</v>
      </c>
      <c r="H48">
        <v>2</v>
      </c>
      <c r="I48">
        <v>0.83</v>
      </c>
      <c r="J48">
        <v>27</v>
      </c>
      <c r="K48">
        <v>9</v>
      </c>
      <c r="L48">
        <v>292</v>
      </c>
      <c r="M48" s="14">
        <v>1.3698630136986301</v>
      </c>
    </row>
    <row r="49" spans="1:13" x14ac:dyDescent="0.25">
      <c r="A49" s="4">
        <v>43874</v>
      </c>
      <c r="B49" s="8">
        <v>52</v>
      </c>
      <c r="C49" t="s">
        <v>122</v>
      </c>
      <c r="D49" t="s">
        <v>123</v>
      </c>
      <c r="E49" t="s">
        <v>209</v>
      </c>
      <c r="F49">
        <v>73</v>
      </c>
      <c r="G49">
        <v>1</v>
      </c>
      <c r="H49">
        <v>1</v>
      </c>
      <c r="I49">
        <v>0.62</v>
      </c>
      <c r="J49">
        <v>27</v>
      </c>
      <c r="K49">
        <v>11</v>
      </c>
      <c r="L49">
        <v>332</v>
      </c>
      <c r="M49" s="14">
        <v>1.2048192771084338</v>
      </c>
    </row>
    <row r="50" spans="1:13" x14ac:dyDescent="0.25">
      <c r="A50" s="4">
        <v>43871</v>
      </c>
      <c r="B50" s="7">
        <v>53</v>
      </c>
      <c r="C50" t="s">
        <v>124</v>
      </c>
      <c r="E50" t="s">
        <v>209</v>
      </c>
      <c r="F50">
        <v>72</v>
      </c>
      <c r="G50">
        <v>0</v>
      </c>
      <c r="H50">
        <v>1</v>
      </c>
      <c r="I50">
        <v>0.71</v>
      </c>
      <c r="J50">
        <v>29</v>
      </c>
      <c r="K50">
        <v>10</v>
      </c>
      <c r="L50">
        <v>362</v>
      </c>
      <c r="M50" s="14">
        <v>1.1049723756906078</v>
      </c>
    </row>
    <row r="51" spans="1:13" x14ac:dyDescent="0.25">
      <c r="A51" s="4">
        <v>44078</v>
      </c>
      <c r="B51" s="7">
        <v>55</v>
      </c>
      <c r="C51" t="s">
        <v>126</v>
      </c>
      <c r="E51" t="s">
        <v>209</v>
      </c>
      <c r="F51">
        <v>73</v>
      </c>
      <c r="G51">
        <v>0</v>
      </c>
      <c r="H51">
        <v>1</v>
      </c>
      <c r="I51">
        <v>0.53</v>
      </c>
      <c r="J51">
        <v>25</v>
      </c>
      <c r="K51">
        <v>12</v>
      </c>
      <c r="L51">
        <v>385</v>
      </c>
      <c r="M51" s="14">
        <v>1.0389610389610389</v>
      </c>
    </row>
    <row r="52" spans="1:13" x14ac:dyDescent="0.25">
      <c r="A52" s="4">
        <v>44089</v>
      </c>
      <c r="B52" s="8">
        <v>56</v>
      </c>
      <c r="C52" t="s">
        <v>127</v>
      </c>
      <c r="E52" t="s">
        <v>209</v>
      </c>
      <c r="F52">
        <v>73</v>
      </c>
      <c r="G52">
        <v>1</v>
      </c>
      <c r="H52">
        <v>3</v>
      </c>
      <c r="I52">
        <v>0.65</v>
      </c>
      <c r="J52">
        <v>26</v>
      </c>
      <c r="K52">
        <v>12</v>
      </c>
      <c r="L52">
        <v>365</v>
      </c>
      <c r="M52" s="14">
        <v>1.095890410958904</v>
      </c>
    </row>
    <row r="53" spans="1:13" x14ac:dyDescent="0.25">
      <c r="A53" s="4">
        <v>43903</v>
      </c>
      <c r="B53" s="7">
        <v>57</v>
      </c>
      <c r="C53" t="s">
        <v>128</v>
      </c>
      <c r="E53" t="s">
        <v>209</v>
      </c>
      <c r="F53">
        <v>75</v>
      </c>
      <c r="G53">
        <v>0</v>
      </c>
      <c r="H53">
        <v>1</v>
      </c>
      <c r="I53">
        <v>0.46</v>
      </c>
      <c r="J53">
        <v>26</v>
      </c>
      <c r="K53">
        <v>11</v>
      </c>
      <c r="L53">
        <v>357</v>
      </c>
      <c r="M53" s="14">
        <v>1.1204481792717087</v>
      </c>
    </row>
    <row r="54" spans="1:13" x14ac:dyDescent="0.25">
      <c r="A54" s="4">
        <v>44096</v>
      </c>
      <c r="B54" s="7">
        <v>59</v>
      </c>
      <c r="C54" t="s">
        <v>130</v>
      </c>
      <c r="E54" t="s">
        <v>209</v>
      </c>
      <c r="F54">
        <v>74</v>
      </c>
      <c r="G54">
        <v>1</v>
      </c>
      <c r="H54">
        <v>1</v>
      </c>
      <c r="I54">
        <v>0.81</v>
      </c>
      <c r="J54">
        <v>28</v>
      </c>
      <c r="K54">
        <v>10</v>
      </c>
      <c r="L54">
        <v>313</v>
      </c>
      <c r="M54" s="14">
        <v>1.2779552715654952</v>
      </c>
    </row>
    <row r="55" spans="1:13" x14ac:dyDescent="0.25">
      <c r="A55" s="4">
        <v>44117</v>
      </c>
      <c r="B55" s="8">
        <v>60</v>
      </c>
      <c r="C55" t="s">
        <v>131</v>
      </c>
      <c r="E55" t="s">
        <v>209</v>
      </c>
      <c r="F55">
        <v>71</v>
      </c>
      <c r="G55">
        <v>0</v>
      </c>
      <c r="H55">
        <v>1</v>
      </c>
      <c r="I55">
        <v>0.67</v>
      </c>
      <c r="J55">
        <v>27</v>
      </c>
      <c r="K55">
        <v>12</v>
      </c>
      <c r="L55">
        <v>309</v>
      </c>
      <c r="M55" s="14">
        <v>1.2944983818770226</v>
      </c>
    </row>
    <row r="56" spans="1:13" x14ac:dyDescent="0.25">
      <c r="A56" s="4">
        <v>44406</v>
      </c>
      <c r="B56" s="7">
        <v>61</v>
      </c>
      <c r="C56" t="s">
        <v>132</v>
      </c>
      <c r="E56" t="s">
        <v>209</v>
      </c>
      <c r="F56">
        <v>65</v>
      </c>
      <c r="G56">
        <v>1</v>
      </c>
      <c r="H56">
        <v>1</v>
      </c>
      <c r="I56">
        <v>0.32</v>
      </c>
      <c r="J56">
        <v>30</v>
      </c>
      <c r="K56">
        <v>10</v>
      </c>
      <c r="L56">
        <v>455</v>
      </c>
      <c r="M56" s="14">
        <v>0.87912087912087911</v>
      </c>
    </row>
    <row r="57" spans="1:13" x14ac:dyDescent="0.25">
      <c r="A57" s="4">
        <v>44390</v>
      </c>
      <c r="B57" s="8">
        <v>62</v>
      </c>
      <c r="C57" t="s">
        <v>133</v>
      </c>
      <c r="E57" t="s">
        <v>209</v>
      </c>
      <c r="F57">
        <v>76</v>
      </c>
      <c r="G57">
        <v>1</v>
      </c>
      <c r="H57">
        <v>1</v>
      </c>
      <c r="I57">
        <v>0.28000000000000003</v>
      </c>
      <c r="J57">
        <v>26</v>
      </c>
      <c r="K57">
        <v>11</v>
      </c>
      <c r="L57">
        <v>374</v>
      </c>
      <c r="M57" s="14">
        <v>1.0695187165775402</v>
      </c>
    </row>
    <row r="58" spans="1:13" x14ac:dyDescent="0.25">
      <c r="A58" s="4">
        <v>44637</v>
      </c>
      <c r="B58" s="8">
        <v>64</v>
      </c>
      <c r="C58" t="s">
        <v>135</v>
      </c>
      <c r="E58" t="s">
        <v>266</v>
      </c>
      <c r="F58">
        <v>68</v>
      </c>
      <c r="G58">
        <v>0</v>
      </c>
      <c r="H58">
        <v>1</v>
      </c>
      <c r="I58">
        <v>0.35</v>
      </c>
      <c r="J58">
        <v>25</v>
      </c>
      <c r="K58">
        <v>10</v>
      </c>
      <c r="L58">
        <v>303</v>
      </c>
      <c r="M58" s="14">
        <v>1.3201320132013201</v>
      </c>
    </row>
    <row r="59" spans="1:13" x14ac:dyDescent="0.25">
      <c r="A59" s="4">
        <v>44698</v>
      </c>
      <c r="B59" s="7">
        <v>65</v>
      </c>
      <c r="C59" t="s">
        <v>136</v>
      </c>
      <c r="E59" t="s">
        <v>209</v>
      </c>
      <c r="F59">
        <v>67</v>
      </c>
      <c r="G59">
        <v>0</v>
      </c>
      <c r="H59">
        <v>1</v>
      </c>
      <c r="I59">
        <v>0.2</v>
      </c>
      <c r="J59">
        <v>28</v>
      </c>
      <c r="K59">
        <v>12</v>
      </c>
      <c r="L59">
        <v>353</v>
      </c>
      <c r="M59" s="14">
        <v>1.1331444759206799</v>
      </c>
    </row>
    <row r="60" spans="1:13" x14ac:dyDescent="0.25">
      <c r="A60" s="4">
        <v>44679</v>
      </c>
      <c r="B60" s="8">
        <v>66</v>
      </c>
      <c r="C60" t="s">
        <v>137</v>
      </c>
      <c r="E60" t="s">
        <v>209</v>
      </c>
      <c r="F60">
        <v>66</v>
      </c>
      <c r="G60">
        <v>0</v>
      </c>
      <c r="H60">
        <v>1</v>
      </c>
      <c r="I60">
        <v>0.44</v>
      </c>
      <c r="J60">
        <v>27</v>
      </c>
      <c r="K60">
        <v>12</v>
      </c>
      <c r="L60">
        <v>358</v>
      </c>
      <c r="M60" s="14">
        <v>1.1173184357541899</v>
      </c>
    </row>
    <row r="61" spans="1:13" x14ac:dyDescent="0.25">
      <c r="A61" s="4">
        <v>44872</v>
      </c>
      <c r="B61" s="7">
        <v>67</v>
      </c>
      <c r="C61" t="s">
        <v>138</v>
      </c>
      <c r="E61" t="s">
        <v>209</v>
      </c>
      <c r="F61">
        <v>69</v>
      </c>
      <c r="G61">
        <v>0</v>
      </c>
      <c r="H61">
        <v>1</v>
      </c>
      <c r="I61">
        <v>0.3</v>
      </c>
      <c r="J61">
        <v>26</v>
      </c>
      <c r="K61">
        <v>11</v>
      </c>
      <c r="L61">
        <v>349</v>
      </c>
      <c r="M61" s="14">
        <v>1.1461318051575931</v>
      </c>
    </row>
    <row r="62" spans="1:13" x14ac:dyDescent="0.25">
      <c r="A62" s="4">
        <v>44818</v>
      </c>
      <c r="B62" s="8">
        <v>68</v>
      </c>
      <c r="C62" t="s">
        <v>139</v>
      </c>
      <c r="D62" s="5"/>
      <c r="E62" t="s">
        <v>209</v>
      </c>
      <c r="F62">
        <v>64</v>
      </c>
      <c r="G62">
        <v>0</v>
      </c>
      <c r="H62">
        <v>1</v>
      </c>
      <c r="I62">
        <v>0.34</v>
      </c>
      <c r="J62">
        <v>24</v>
      </c>
      <c r="K62">
        <v>11</v>
      </c>
      <c r="L62">
        <v>368</v>
      </c>
      <c r="M62" s="14">
        <v>1.0869565217391304</v>
      </c>
    </row>
    <row r="63" spans="1:13" x14ac:dyDescent="0.25">
      <c r="A63" s="4">
        <v>44299</v>
      </c>
      <c r="B63" s="7">
        <v>71</v>
      </c>
      <c r="C63" t="s">
        <v>143</v>
      </c>
      <c r="E63" t="s">
        <v>209</v>
      </c>
      <c r="F63">
        <v>83</v>
      </c>
      <c r="G63">
        <v>1</v>
      </c>
      <c r="H63">
        <v>1</v>
      </c>
      <c r="I63">
        <v>0.25</v>
      </c>
      <c r="J63">
        <v>28</v>
      </c>
      <c r="K63">
        <v>9</v>
      </c>
      <c r="L63">
        <v>402</v>
      </c>
      <c r="M63" s="14">
        <v>0.99502487562189057</v>
      </c>
    </row>
    <row r="64" spans="1:13" x14ac:dyDescent="0.25">
      <c r="A64" s="4">
        <v>44343</v>
      </c>
      <c r="B64" s="8">
        <v>72</v>
      </c>
      <c r="C64" t="s">
        <v>144</v>
      </c>
      <c r="D64" t="s">
        <v>268</v>
      </c>
      <c r="E64" t="s">
        <v>209</v>
      </c>
      <c r="F64">
        <v>88</v>
      </c>
      <c r="G64">
        <v>0</v>
      </c>
      <c r="H64">
        <v>2</v>
      </c>
      <c r="I64">
        <v>0.35</v>
      </c>
      <c r="J64">
        <v>25</v>
      </c>
      <c r="K64">
        <v>9</v>
      </c>
      <c r="L64">
        <v>433</v>
      </c>
      <c r="M64" s="14">
        <v>0.92378752886836024</v>
      </c>
    </row>
    <row r="65" spans="1:13" x14ac:dyDescent="0.25">
      <c r="A65" s="4">
        <v>44350</v>
      </c>
      <c r="B65" s="7">
        <v>73</v>
      </c>
      <c r="C65" t="s">
        <v>145</v>
      </c>
      <c r="E65" t="s">
        <v>209</v>
      </c>
      <c r="F65">
        <v>82</v>
      </c>
      <c r="G65">
        <v>0</v>
      </c>
      <c r="H65">
        <v>1</v>
      </c>
      <c r="I65">
        <v>0.3</v>
      </c>
      <c r="J65">
        <v>28</v>
      </c>
      <c r="K65">
        <v>9</v>
      </c>
      <c r="L65">
        <v>379</v>
      </c>
      <c r="M65" s="14">
        <v>1.0554089709762533</v>
      </c>
    </row>
    <row r="66" spans="1:13" x14ac:dyDescent="0.25">
      <c r="A66" s="4">
        <v>44425</v>
      </c>
      <c r="B66" s="7">
        <v>77</v>
      </c>
      <c r="C66" t="s">
        <v>151</v>
      </c>
      <c r="E66" t="s">
        <v>209</v>
      </c>
      <c r="F66">
        <v>80</v>
      </c>
      <c r="G66">
        <v>0</v>
      </c>
      <c r="H66">
        <v>1</v>
      </c>
      <c r="I66">
        <v>0.18</v>
      </c>
      <c r="J66">
        <v>29</v>
      </c>
      <c r="K66">
        <v>8</v>
      </c>
      <c r="L66">
        <v>523</v>
      </c>
      <c r="M66" s="14">
        <v>0.76481835564053535</v>
      </c>
    </row>
    <row r="67" spans="1:13" x14ac:dyDescent="0.25">
      <c r="A67" s="4">
        <v>44490</v>
      </c>
      <c r="B67" s="8">
        <v>78</v>
      </c>
      <c r="C67" t="s">
        <v>152</v>
      </c>
      <c r="D67" t="s">
        <v>269</v>
      </c>
      <c r="E67" t="s">
        <v>209</v>
      </c>
      <c r="F67">
        <v>66</v>
      </c>
      <c r="G67">
        <v>0</v>
      </c>
      <c r="H67">
        <v>1</v>
      </c>
      <c r="I67">
        <v>0.25</v>
      </c>
      <c r="J67">
        <v>29</v>
      </c>
      <c r="K67">
        <v>9</v>
      </c>
      <c r="L67">
        <v>413</v>
      </c>
      <c r="M67" s="14">
        <v>0.96852300242130751</v>
      </c>
    </row>
    <row r="68" spans="1:13" x14ac:dyDescent="0.25">
      <c r="A68" s="4">
        <v>44504</v>
      </c>
      <c r="B68" s="7">
        <v>79</v>
      </c>
      <c r="C68" t="s">
        <v>153</v>
      </c>
      <c r="E68" t="s">
        <v>209</v>
      </c>
      <c r="F68">
        <v>72</v>
      </c>
      <c r="G68">
        <v>0</v>
      </c>
      <c r="H68">
        <v>1</v>
      </c>
      <c r="I68">
        <v>0.21</v>
      </c>
      <c r="J68">
        <v>26</v>
      </c>
      <c r="K68">
        <v>9</v>
      </c>
      <c r="L68">
        <v>376</v>
      </c>
      <c r="M68" s="14">
        <v>1.0638297872340425</v>
      </c>
    </row>
    <row r="69" spans="1:13" x14ac:dyDescent="0.25">
      <c r="A69" s="4">
        <v>44749</v>
      </c>
      <c r="B69" s="7">
        <v>83</v>
      </c>
      <c r="C69" t="s">
        <v>158</v>
      </c>
      <c r="E69" t="s">
        <v>209</v>
      </c>
      <c r="F69">
        <v>70</v>
      </c>
      <c r="G69">
        <v>0</v>
      </c>
      <c r="H69">
        <v>1</v>
      </c>
      <c r="I69">
        <v>0.31</v>
      </c>
      <c r="J69">
        <v>30</v>
      </c>
      <c r="K69">
        <v>8</v>
      </c>
      <c r="L69">
        <v>335</v>
      </c>
      <c r="M69" s="14">
        <v>1.1940298507462686</v>
      </c>
    </row>
    <row r="70" spans="1:13" x14ac:dyDescent="0.25">
      <c r="A70" s="4">
        <v>44733</v>
      </c>
      <c r="B70" s="8">
        <v>84</v>
      </c>
      <c r="C70" t="s">
        <v>159</v>
      </c>
      <c r="E70" t="s">
        <v>209</v>
      </c>
      <c r="F70">
        <v>79</v>
      </c>
      <c r="G70">
        <v>0</v>
      </c>
      <c r="H70">
        <v>1</v>
      </c>
      <c r="I70">
        <v>0.2</v>
      </c>
      <c r="J70">
        <v>24</v>
      </c>
      <c r="K70">
        <v>9</v>
      </c>
      <c r="L70">
        <v>407</v>
      </c>
      <c r="M70" s="14">
        <v>0.98280098280098283</v>
      </c>
    </row>
    <row r="71" spans="1:13" x14ac:dyDescent="0.25">
      <c r="A71" s="4">
        <v>44789</v>
      </c>
      <c r="B71" s="7">
        <v>85</v>
      </c>
      <c r="C71" t="s">
        <v>160</v>
      </c>
      <c r="D71" s="5"/>
      <c r="E71" t="s">
        <v>209</v>
      </c>
      <c r="F71">
        <v>67</v>
      </c>
      <c r="G71">
        <v>0</v>
      </c>
      <c r="H71">
        <v>1</v>
      </c>
      <c r="I71">
        <v>0.25</v>
      </c>
      <c r="J71">
        <v>24</v>
      </c>
      <c r="K71">
        <v>7</v>
      </c>
      <c r="L71">
        <v>346</v>
      </c>
      <c r="M71" s="14">
        <v>1.1560693641618498</v>
      </c>
    </row>
    <row r="72" spans="1:13" x14ac:dyDescent="0.25">
      <c r="A72" s="4">
        <v>43777</v>
      </c>
      <c r="B72" s="8">
        <v>88</v>
      </c>
      <c r="C72" t="s">
        <v>163</v>
      </c>
      <c r="D72" t="s">
        <v>269</v>
      </c>
      <c r="E72" t="s">
        <v>209</v>
      </c>
      <c r="F72">
        <v>81</v>
      </c>
      <c r="G72">
        <v>0</v>
      </c>
      <c r="H72">
        <v>2</v>
      </c>
      <c r="I72">
        <v>0.17</v>
      </c>
      <c r="J72">
        <v>29</v>
      </c>
      <c r="K72">
        <v>8</v>
      </c>
      <c r="L72" s="9">
        <v>469</v>
      </c>
      <c r="M72" s="14">
        <v>0.85287846481876328</v>
      </c>
    </row>
    <row r="73" spans="1:13" x14ac:dyDescent="0.25">
      <c r="A73" s="4">
        <v>43854</v>
      </c>
      <c r="B73" s="8">
        <v>90</v>
      </c>
      <c r="C73" t="s">
        <v>165</v>
      </c>
      <c r="E73" t="s">
        <v>209</v>
      </c>
      <c r="F73">
        <v>78</v>
      </c>
      <c r="G73">
        <v>1</v>
      </c>
      <c r="H73">
        <v>1</v>
      </c>
      <c r="I73">
        <v>0.69</v>
      </c>
      <c r="J73">
        <v>29</v>
      </c>
      <c r="K73" s="9">
        <v>8</v>
      </c>
      <c r="L73" s="9">
        <v>346</v>
      </c>
      <c r="M73" s="14">
        <v>1.1560693641618498</v>
      </c>
    </row>
    <row r="74" spans="1:13" x14ac:dyDescent="0.25">
      <c r="A74" s="4">
        <v>43899</v>
      </c>
      <c r="B74" s="8">
        <v>92</v>
      </c>
      <c r="C74" t="s">
        <v>167</v>
      </c>
      <c r="D74" t="s">
        <v>123</v>
      </c>
      <c r="E74" t="s">
        <v>209</v>
      </c>
      <c r="F74">
        <v>73</v>
      </c>
      <c r="G74">
        <v>0</v>
      </c>
      <c r="H74">
        <v>2</v>
      </c>
      <c r="I74">
        <v>0.2</v>
      </c>
      <c r="J74">
        <v>27</v>
      </c>
      <c r="K74" s="9">
        <v>9</v>
      </c>
      <c r="L74" s="9">
        <v>438</v>
      </c>
      <c r="M74" s="14">
        <v>0.91324200913242004</v>
      </c>
    </row>
    <row r="75" spans="1:13" x14ac:dyDescent="0.25">
      <c r="A75" s="4">
        <v>44217</v>
      </c>
      <c r="B75" s="7">
        <v>93</v>
      </c>
      <c r="C75" t="s">
        <v>168</v>
      </c>
      <c r="E75" t="s">
        <v>209</v>
      </c>
      <c r="F75">
        <v>79</v>
      </c>
      <c r="G75">
        <v>1</v>
      </c>
      <c r="H75">
        <v>1</v>
      </c>
      <c r="I75">
        <v>0.33</v>
      </c>
      <c r="J75">
        <v>28</v>
      </c>
      <c r="K75">
        <v>9</v>
      </c>
      <c r="L75" s="9">
        <v>486</v>
      </c>
      <c r="M75" s="14">
        <v>0.82304526748971196</v>
      </c>
    </row>
    <row r="76" spans="1:13" x14ac:dyDescent="0.25">
      <c r="A76" s="4">
        <v>44252</v>
      </c>
      <c r="B76" s="8">
        <v>96</v>
      </c>
      <c r="C76" t="s">
        <v>172</v>
      </c>
      <c r="E76" t="s">
        <v>209</v>
      </c>
      <c r="F76">
        <v>79</v>
      </c>
      <c r="G76">
        <v>1</v>
      </c>
      <c r="H76">
        <v>1</v>
      </c>
      <c r="I76">
        <v>0.18</v>
      </c>
      <c r="J76">
        <v>29</v>
      </c>
      <c r="K76">
        <v>9</v>
      </c>
      <c r="L76" s="9">
        <v>386</v>
      </c>
      <c r="M76" s="14">
        <v>1.0362694300518134</v>
      </c>
    </row>
    <row r="77" spans="1:13" x14ac:dyDescent="0.25">
      <c r="A77" s="4">
        <v>44306</v>
      </c>
      <c r="B77" s="7">
        <v>99</v>
      </c>
      <c r="C77" t="s">
        <v>175</v>
      </c>
      <c r="E77" t="s">
        <v>209</v>
      </c>
      <c r="F77">
        <v>70</v>
      </c>
      <c r="G77">
        <v>0</v>
      </c>
      <c r="H77">
        <v>1</v>
      </c>
      <c r="I77">
        <v>0.15</v>
      </c>
      <c r="J77">
        <v>29</v>
      </c>
      <c r="K77" s="9">
        <v>9</v>
      </c>
      <c r="L77" s="9">
        <v>456</v>
      </c>
      <c r="M77" s="14">
        <v>0.8771929824561403</v>
      </c>
    </row>
    <row r="78" spans="1:13" x14ac:dyDescent="0.25">
      <c r="A78" s="4">
        <v>44357</v>
      </c>
      <c r="B78" s="7">
        <v>101</v>
      </c>
      <c r="C78" t="s">
        <v>177</v>
      </c>
      <c r="D78" t="s">
        <v>268</v>
      </c>
      <c r="E78" t="s">
        <v>209</v>
      </c>
      <c r="F78">
        <v>80</v>
      </c>
      <c r="G78">
        <v>1</v>
      </c>
      <c r="H78">
        <v>1</v>
      </c>
      <c r="I78">
        <v>0.28999999999999998</v>
      </c>
      <c r="J78">
        <v>28</v>
      </c>
      <c r="K78" s="9">
        <v>5</v>
      </c>
      <c r="L78" s="9">
        <v>473</v>
      </c>
      <c r="M78" s="14">
        <v>0.84566596194503174</v>
      </c>
    </row>
    <row r="79" spans="1:13" x14ac:dyDescent="0.25">
      <c r="A79" s="4">
        <v>44572</v>
      </c>
      <c r="B79" s="8">
        <v>102</v>
      </c>
      <c r="C79" t="s">
        <v>178</v>
      </c>
      <c r="E79" t="s">
        <v>209</v>
      </c>
      <c r="F79">
        <v>79</v>
      </c>
      <c r="G79">
        <v>0</v>
      </c>
      <c r="H79">
        <v>1</v>
      </c>
      <c r="I79">
        <v>0.15</v>
      </c>
      <c r="J79">
        <v>29</v>
      </c>
      <c r="K79" s="9">
        <v>8</v>
      </c>
      <c r="L79" s="9">
        <v>435</v>
      </c>
      <c r="M79" s="14">
        <v>0.91954022988505746</v>
      </c>
    </row>
    <row r="80" spans="1:13" x14ac:dyDescent="0.25">
      <c r="A80" s="4">
        <v>44386</v>
      </c>
      <c r="B80" s="7">
        <v>103</v>
      </c>
      <c r="C80" t="s">
        <v>179</v>
      </c>
      <c r="E80" t="s">
        <v>209</v>
      </c>
      <c r="F80">
        <v>70</v>
      </c>
      <c r="G80">
        <v>1</v>
      </c>
      <c r="H80">
        <v>1</v>
      </c>
      <c r="I80">
        <v>0.61</v>
      </c>
      <c r="J80">
        <v>29</v>
      </c>
      <c r="K80" s="9">
        <v>9</v>
      </c>
      <c r="L80" s="9">
        <v>325</v>
      </c>
      <c r="M80" s="14">
        <v>1.2307692307692308</v>
      </c>
    </row>
    <row r="81" spans="1:13" x14ac:dyDescent="0.25">
      <c r="A81" s="4">
        <v>44614</v>
      </c>
      <c r="B81" s="7">
        <v>105</v>
      </c>
      <c r="C81" t="s">
        <v>181</v>
      </c>
      <c r="D81" t="s">
        <v>269</v>
      </c>
      <c r="E81" t="s">
        <v>209</v>
      </c>
      <c r="F81">
        <v>69</v>
      </c>
      <c r="G81">
        <v>1</v>
      </c>
      <c r="H81">
        <v>1</v>
      </c>
      <c r="I81">
        <v>0.4</v>
      </c>
      <c r="J81">
        <v>29</v>
      </c>
      <c r="K81" s="9">
        <v>9</v>
      </c>
      <c r="L81" s="9">
        <v>361</v>
      </c>
      <c r="M81" s="14">
        <v>1.10803324099723</v>
      </c>
    </row>
    <row r="82" spans="1:13" x14ac:dyDescent="0.25">
      <c r="A82" s="4">
        <v>44595</v>
      </c>
      <c r="B82" s="8">
        <v>106</v>
      </c>
      <c r="C82" t="s">
        <v>182</v>
      </c>
      <c r="D82" t="s">
        <v>268</v>
      </c>
      <c r="E82" t="s">
        <v>209</v>
      </c>
      <c r="F82">
        <v>70</v>
      </c>
      <c r="G82">
        <v>1</v>
      </c>
      <c r="H82">
        <v>1</v>
      </c>
      <c r="I82">
        <v>0.28999999999999998</v>
      </c>
      <c r="J82">
        <v>28</v>
      </c>
      <c r="K82" s="9">
        <v>8</v>
      </c>
      <c r="L82" s="9">
        <v>363</v>
      </c>
      <c r="M82" s="14">
        <v>1.1019283746556474</v>
      </c>
    </row>
    <row r="83" spans="1:13" x14ac:dyDescent="0.25">
      <c r="A83" s="4">
        <v>44453</v>
      </c>
      <c r="B83" s="8">
        <v>108</v>
      </c>
      <c r="C83" t="s">
        <v>184</v>
      </c>
      <c r="E83" t="s">
        <v>209</v>
      </c>
      <c r="F83">
        <v>74</v>
      </c>
      <c r="G83">
        <v>0</v>
      </c>
      <c r="H83">
        <v>1</v>
      </c>
      <c r="I83">
        <v>0.23</v>
      </c>
      <c r="J83">
        <v>30</v>
      </c>
      <c r="K83" s="9">
        <v>7</v>
      </c>
      <c r="L83" s="9">
        <v>429</v>
      </c>
      <c r="M83" s="14">
        <v>0.93240093240093236</v>
      </c>
    </row>
    <row r="84" spans="1:13" x14ac:dyDescent="0.25">
      <c r="A84" s="4">
        <v>44474</v>
      </c>
      <c r="B84" s="7">
        <v>109</v>
      </c>
      <c r="C84" t="s">
        <v>185</v>
      </c>
      <c r="E84" t="s">
        <v>209</v>
      </c>
      <c r="F84">
        <v>67</v>
      </c>
      <c r="G84">
        <v>0</v>
      </c>
      <c r="H84">
        <v>1</v>
      </c>
      <c r="I84">
        <v>0.3</v>
      </c>
      <c r="J84">
        <v>29</v>
      </c>
      <c r="K84">
        <v>6</v>
      </c>
      <c r="L84" s="9">
        <v>334</v>
      </c>
      <c r="M84" s="14">
        <v>1.1976047904191616</v>
      </c>
    </row>
    <row r="85" spans="1:13" x14ac:dyDescent="0.25">
      <c r="A85" s="4">
        <v>44467</v>
      </c>
      <c r="B85" s="8">
        <v>110</v>
      </c>
      <c r="C85" t="s">
        <v>186</v>
      </c>
      <c r="E85" t="s">
        <v>209</v>
      </c>
      <c r="F85">
        <v>80</v>
      </c>
      <c r="G85">
        <v>1</v>
      </c>
      <c r="H85">
        <v>1</v>
      </c>
      <c r="I85">
        <v>0.2</v>
      </c>
      <c r="J85">
        <v>27</v>
      </c>
      <c r="K85">
        <v>8</v>
      </c>
      <c r="L85" s="9">
        <v>470</v>
      </c>
      <c r="M85" s="14">
        <v>0.85106382978723405</v>
      </c>
    </row>
    <row r="86" spans="1:13" x14ac:dyDescent="0.25">
      <c r="A86" s="4">
        <v>44495</v>
      </c>
      <c r="B86" s="7">
        <v>111</v>
      </c>
      <c r="C86" t="s">
        <v>187</v>
      </c>
      <c r="E86" t="s">
        <v>209</v>
      </c>
      <c r="F86">
        <v>72</v>
      </c>
      <c r="G86">
        <v>0</v>
      </c>
      <c r="H86">
        <v>1</v>
      </c>
      <c r="I86">
        <v>0.28000000000000003</v>
      </c>
      <c r="J86">
        <v>28</v>
      </c>
      <c r="K86">
        <v>7</v>
      </c>
      <c r="L86" s="9">
        <v>422</v>
      </c>
      <c r="M86" s="14">
        <v>0.94786729857819907</v>
      </c>
    </row>
    <row r="87" spans="1:13" x14ac:dyDescent="0.25">
      <c r="A87" s="4">
        <v>44488</v>
      </c>
      <c r="B87" s="8">
        <v>112</v>
      </c>
      <c r="C87" t="s">
        <v>188</v>
      </c>
      <c r="E87" t="s">
        <v>209</v>
      </c>
      <c r="F87">
        <v>66</v>
      </c>
      <c r="G87">
        <v>0</v>
      </c>
      <c r="H87">
        <v>1</v>
      </c>
      <c r="I87">
        <v>0.48</v>
      </c>
      <c r="J87">
        <v>28</v>
      </c>
      <c r="K87">
        <v>8</v>
      </c>
      <c r="L87" s="9">
        <v>336</v>
      </c>
      <c r="M87" s="14">
        <v>1.1904761904761905</v>
      </c>
    </row>
    <row r="88" spans="1:13" x14ac:dyDescent="0.25">
      <c r="A88" s="4">
        <v>44516</v>
      </c>
      <c r="B88" s="7">
        <v>113</v>
      </c>
      <c r="C88" t="s">
        <v>189</v>
      </c>
      <c r="E88" t="s">
        <v>209</v>
      </c>
      <c r="F88">
        <v>65</v>
      </c>
      <c r="G88">
        <v>0</v>
      </c>
      <c r="H88">
        <v>1</v>
      </c>
      <c r="I88">
        <v>0.36</v>
      </c>
      <c r="J88">
        <v>29</v>
      </c>
      <c r="K88">
        <v>9</v>
      </c>
      <c r="L88" s="9">
        <v>388</v>
      </c>
      <c r="M88" s="14">
        <v>1.0309278350515463</v>
      </c>
    </row>
    <row r="89" spans="1:13" x14ac:dyDescent="0.25">
      <c r="A89" s="4">
        <v>44544</v>
      </c>
      <c r="B89" s="7">
        <v>115</v>
      </c>
      <c r="C89" t="s">
        <v>191</v>
      </c>
      <c r="D89" t="s">
        <v>269</v>
      </c>
      <c r="E89" t="s">
        <v>209</v>
      </c>
      <c r="F89">
        <v>84</v>
      </c>
      <c r="G89">
        <v>1</v>
      </c>
      <c r="H89">
        <v>1</v>
      </c>
      <c r="I89">
        <v>0.24</v>
      </c>
      <c r="J89">
        <v>26</v>
      </c>
      <c r="K89">
        <v>9</v>
      </c>
      <c r="L89" s="9">
        <v>439</v>
      </c>
      <c r="M89" s="14">
        <v>0.91116173120728927</v>
      </c>
    </row>
    <row r="90" spans="1:13" x14ac:dyDescent="0.25">
      <c r="A90" s="4">
        <v>44581</v>
      </c>
      <c r="B90" s="8">
        <v>116</v>
      </c>
      <c r="C90" t="s">
        <v>192</v>
      </c>
      <c r="E90" t="s">
        <v>209</v>
      </c>
      <c r="F90">
        <v>82</v>
      </c>
      <c r="G90">
        <v>0</v>
      </c>
      <c r="H90">
        <v>1</v>
      </c>
      <c r="I90">
        <v>0.23</v>
      </c>
      <c r="J90">
        <v>27</v>
      </c>
      <c r="K90">
        <v>9</v>
      </c>
      <c r="L90" s="9">
        <v>432</v>
      </c>
      <c r="M90" s="14">
        <v>0.92592592592592593</v>
      </c>
    </row>
    <row r="91" spans="1:13" x14ac:dyDescent="0.25">
      <c r="A91" s="4">
        <v>44677</v>
      </c>
      <c r="B91" s="8">
        <v>118</v>
      </c>
      <c r="C91" t="s">
        <v>194</v>
      </c>
      <c r="E91" t="s">
        <v>209</v>
      </c>
      <c r="F91">
        <v>78</v>
      </c>
      <c r="G91">
        <v>0</v>
      </c>
      <c r="H91">
        <v>1</v>
      </c>
      <c r="I91">
        <v>0.46</v>
      </c>
      <c r="J91">
        <v>29</v>
      </c>
      <c r="K91" s="9">
        <v>9</v>
      </c>
      <c r="L91" s="9">
        <v>395</v>
      </c>
      <c r="M91" s="14">
        <v>1.0126582278481013</v>
      </c>
    </row>
    <row r="92" spans="1:13" x14ac:dyDescent="0.25">
      <c r="A92" s="4">
        <v>44672</v>
      </c>
      <c r="B92" s="7">
        <v>119</v>
      </c>
      <c r="C92" t="s">
        <v>195</v>
      </c>
      <c r="E92" t="s">
        <v>209</v>
      </c>
      <c r="F92">
        <v>90</v>
      </c>
      <c r="G92">
        <v>1</v>
      </c>
      <c r="H92">
        <v>1</v>
      </c>
      <c r="I92">
        <v>0.35</v>
      </c>
      <c r="J92">
        <v>26</v>
      </c>
      <c r="K92" s="9">
        <v>7</v>
      </c>
      <c r="L92" s="9">
        <v>377</v>
      </c>
      <c r="M92" s="14">
        <v>1.0610079575596818</v>
      </c>
    </row>
    <row r="93" spans="1:13" x14ac:dyDescent="0.25">
      <c r="A93" s="4">
        <v>44712</v>
      </c>
      <c r="B93" s="8">
        <v>120</v>
      </c>
      <c r="C93" t="s">
        <v>196</v>
      </c>
      <c r="E93" t="s">
        <v>209</v>
      </c>
      <c r="F93">
        <v>77</v>
      </c>
      <c r="G93">
        <v>0</v>
      </c>
      <c r="H93">
        <v>1</v>
      </c>
      <c r="I93">
        <v>0.28000000000000003</v>
      </c>
      <c r="J93">
        <v>27</v>
      </c>
      <c r="K93" s="9">
        <v>7</v>
      </c>
      <c r="L93" s="9">
        <v>467</v>
      </c>
      <c r="M93" s="14">
        <v>0.85653104925053536</v>
      </c>
    </row>
    <row r="94" spans="1:13" x14ac:dyDescent="0.25">
      <c r="A94" s="4">
        <v>44728</v>
      </c>
      <c r="B94" s="7">
        <v>121</v>
      </c>
      <c r="C94" t="s">
        <v>197</v>
      </c>
      <c r="D94" t="s">
        <v>268</v>
      </c>
      <c r="E94" t="s">
        <v>209</v>
      </c>
      <c r="F94">
        <v>72</v>
      </c>
      <c r="G94">
        <v>1</v>
      </c>
      <c r="H94">
        <v>1</v>
      </c>
      <c r="I94">
        <v>0.25</v>
      </c>
      <c r="J94">
        <v>26</v>
      </c>
      <c r="K94" s="9">
        <v>9</v>
      </c>
      <c r="L94" s="9">
        <v>384</v>
      </c>
      <c r="M94" s="14">
        <v>1.0416666666666667</v>
      </c>
    </row>
    <row r="95" spans="1:13" x14ac:dyDescent="0.25">
      <c r="A95" s="4">
        <v>44693</v>
      </c>
      <c r="B95" s="8">
        <v>122</v>
      </c>
      <c r="C95" t="s">
        <v>198</v>
      </c>
      <c r="E95" t="s">
        <v>209</v>
      </c>
      <c r="F95">
        <v>69</v>
      </c>
      <c r="G95">
        <v>1</v>
      </c>
      <c r="H95">
        <v>1</v>
      </c>
      <c r="I95">
        <v>0.3</v>
      </c>
      <c r="J95">
        <v>26</v>
      </c>
      <c r="K95" s="9">
        <v>7</v>
      </c>
      <c r="L95" s="9">
        <v>371</v>
      </c>
      <c r="M95" s="14">
        <v>1.0781671159029649</v>
      </c>
    </row>
    <row r="96" spans="1:13" x14ac:dyDescent="0.25">
      <c r="A96" s="4">
        <v>44665</v>
      </c>
      <c r="B96" s="7">
        <v>123</v>
      </c>
      <c r="C96" t="s">
        <v>199</v>
      </c>
      <c r="E96" t="s">
        <v>209</v>
      </c>
      <c r="F96">
        <v>77</v>
      </c>
      <c r="G96">
        <v>1</v>
      </c>
      <c r="H96">
        <v>1</v>
      </c>
      <c r="I96">
        <v>0.28000000000000003</v>
      </c>
      <c r="J96">
        <v>25</v>
      </c>
      <c r="K96" s="9">
        <v>7</v>
      </c>
      <c r="L96" s="9">
        <v>448</v>
      </c>
      <c r="M96" s="14">
        <v>0.8928571428571429</v>
      </c>
    </row>
    <row r="97" spans="1:13" x14ac:dyDescent="0.25">
      <c r="A97" s="4">
        <v>44911</v>
      </c>
      <c r="B97" s="8">
        <v>124</v>
      </c>
      <c r="C97" t="s">
        <v>200</v>
      </c>
      <c r="E97" t="s">
        <v>209</v>
      </c>
      <c r="F97">
        <v>77</v>
      </c>
      <c r="G97">
        <v>0</v>
      </c>
      <c r="H97">
        <v>1</v>
      </c>
      <c r="I97">
        <v>0.15</v>
      </c>
      <c r="J97">
        <v>30</v>
      </c>
      <c r="K97" s="9">
        <v>8</v>
      </c>
      <c r="L97" s="9">
        <v>561</v>
      </c>
      <c r="M97" s="14">
        <v>0.71301247771836007</v>
      </c>
    </row>
    <row r="98" spans="1:13" x14ac:dyDescent="0.25">
      <c r="A98" s="4">
        <v>44754</v>
      </c>
      <c r="B98" s="7">
        <v>125</v>
      </c>
      <c r="C98" t="s">
        <v>201</v>
      </c>
      <c r="E98" t="s">
        <v>209</v>
      </c>
      <c r="F98">
        <v>68</v>
      </c>
      <c r="G98">
        <v>0</v>
      </c>
      <c r="H98">
        <v>1</v>
      </c>
      <c r="I98">
        <v>0.22</v>
      </c>
      <c r="J98">
        <v>26</v>
      </c>
      <c r="K98" s="9">
        <v>9</v>
      </c>
      <c r="L98" s="9">
        <v>424</v>
      </c>
      <c r="M98" s="14">
        <v>0.94339622641509435</v>
      </c>
    </row>
    <row r="99" spans="1:13" x14ac:dyDescent="0.25">
      <c r="A99" s="4">
        <v>44742</v>
      </c>
      <c r="B99" s="8">
        <v>126</v>
      </c>
      <c r="C99" t="s">
        <v>202</v>
      </c>
      <c r="E99" t="s">
        <v>209</v>
      </c>
      <c r="F99">
        <v>71</v>
      </c>
      <c r="G99">
        <v>0</v>
      </c>
      <c r="H99">
        <v>1</v>
      </c>
      <c r="I99">
        <v>0.35</v>
      </c>
      <c r="J99">
        <v>29</v>
      </c>
      <c r="K99" s="9">
        <v>7</v>
      </c>
      <c r="L99" s="9">
        <v>445</v>
      </c>
      <c r="M99" s="14">
        <v>0.898876404494382</v>
      </c>
    </row>
    <row r="100" spans="1:13" x14ac:dyDescent="0.25">
      <c r="A100" s="4">
        <v>44768</v>
      </c>
      <c r="B100" s="7">
        <v>127</v>
      </c>
      <c r="C100" t="s">
        <v>203</v>
      </c>
      <c r="E100" t="s">
        <v>209</v>
      </c>
      <c r="F100">
        <v>72</v>
      </c>
      <c r="G100">
        <v>0</v>
      </c>
      <c r="H100">
        <v>1</v>
      </c>
      <c r="I100">
        <v>0.25</v>
      </c>
      <c r="J100">
        <v>27</v>
      </c>
      <c r="K100" s="9">
        <v>8</v>
      </c>
      <c r="L100" s="9">
        <v>346</v>
      </c>
      <c r="M100" s="14">
        <v>1.1560693641618498</v>
      </c>
    </row>
    <row r="101" spans="1:13" x14ac:dyDescent="0.25">
      <c r="A101" s="4">
        <v>44736</v>
      </c>
      <c r="B101" s="8">
        <v>128</v>
      </c>
      <c r="C101" t="s">
        <v>204</v>
      </c>
      <c r="D101" t="s">
        <v>269</v>
      </c>
      <c r="E101" t="s">
        <v>209</v>
      </c>
      <c r="F101">
        <v>75</v>
      </c>
      <c r="G101">
        <v>1</v>
      </c>
      <c r="H101">
        <v>1</v>
      </c>
      <c r="I101">
        <v>0.15</v>
      </c>
      <c r="J101">
        <v>25</v>
      </c>
      <c r="K101" s="9">
        <v>7</v>
      </c>
      <c r="L101" s="9">
        <v>470</v>
      </c>
      <c r="M101" s="14">
        <v>0.85106382978723405</v>
      </c>
    </row>
    <row r="102" spans="1:13" x14ac:dyDescent="0.25">
      <c r="A102" s="4">
        <v>44868</v>
      </c>
      <c r="B102" s="7">
        <v>129</v>
      </c>
      <c r="C102" t="s">
        <v>205</v>
      </c>
      <c r="E102" t="s">
        <v>209</v>
      </c>
      <c r="F102">
        <v>81</v>
      </c>
      <c r="G102">
        <v>0</v>
      </c>
      <c r="H102">
        <v>1</v>
      </c>
      <c r="I102">
        <v>0.2</v>
      </c>
      <c r="J102">
        <v>27</v>
      </c>
      <c r="K102" s="9">
        <v>9</v>
      </c>
      <c r="L102" s="9">
        <v>446</v>
      </c>
      <c r="M102" s="14">
        <v>0.89686098654708524</v>
      </c>
    </row>
    <row r="103" spans="1:13" x14ac:dyDescent="0.25">
      <c r="A103" s="4">
        <v>44957</v>
      </c>
      <c r="B103" s="8">
        <v>130</v>
      </c>
      <c r="C103" t="s">
        <v>206</v>
      </c>
      <c r="E103" t="s">
        <v>209</v>
      </c>
      <c r="F103">
        <v>81</v>
      </c>
      <c r="G103">
        <v>1</v>
      </c>
      <c r="H103">
        <v>1</v>
      </c>
      <c r="I103">
        <v>0.2</v>
      </c>
      <c r="J103">
        <v>29</v>
      </c>
      <c r="K103" s="9">
        <v>6</v>
      </c>
      <c r="L103" s="9">
        <v>395</v>
      </c>
      <c r="M103" s="14">
        <v>1.0126582278481013</v>
      </c>
    </row>
    <row r="104" spans="1:13" x14ac:dyDescent="0.25">
      <c r="A104" s="4">
        <v>44953</v>
      </c>
      <c r="B104" s="7">
        <v>131</v>
      </c>
      <c r="C104" t="s">
        <v>207</v>
      </c>
      <c r="D104" s="5"/>
      <c r="E104" t="s">
        <v>209</v>
      </c>
      <c r="F104">
        <v>68</v>
      </c>
      <c r="G104">
        <v>0</v>
      </c>
      <c r="H104">
        <v>1</v>
      </c>
      <c r="I104">
        <v>0.28999999999999998</v>
      </c>
      <c r="J104">
        <v>29</v>
      </c>
      <c r="K104" s="9">
        <v>9</v>
      </c>
      <c r="L104" s="9">
        <v>328</v>
      </c>
      <c r="M104" s="14">
        <v>1.2195121951219512</v>
      </c>
    </row>
    <row r="105" spans="1:13" x14ac:dyDescent="0.25">
      <c r="C105" t="s">
        <v>284</v>
      </c>
      <c r="D105" t="s">
        <v>284</v>
      </c>
      <c r="E105" t="s">
        <v>286</v>
      </c>
      <c r="F105">
        <f>AVERAGE(F2:F33)</f>
        <v>24.21875</v>
      </c>
      <c r="G105">
        <f>SUM(G2:G33)</f>
        <v>16</v>
      </c>
      <c r="H105">
        <f>COUNTIF(H2:H33,1)</f>
        <v>29</v>
      </c>
      <c r="I105">
        <f>AVERAGE(I2:I33)</f>
        <v>0.70281249999999984</v>
      </c>
      <c r="J105">
        <f>AVERAGE(J2:J33)</f>
        <v>28.2</v>
      </c>
      <c r="K105">
        <f>AVERAGE(K2:K33)</f>
        <v>12</v>
      </c>
      <c r="L105">
        <f>AVERAGE(L2:L33)</f>
        <v>326.12903225806451</v>
      </c>
      <c r="M105">
        <f>AVERAGE(M2:M33)</f>
        <v>1.2445681280826657</v>
      </c>
    </row>
    <row r="106" spans="1:13" x14ac:dyDescent="0.25">
      <c r="E106" t="s">
        <v>287</v>
      </c>
      <c r="F106">
        <f>_xlfn.STDEV.P(F2:F33)</f>
        <v>3.8789042831062486</v>
      </c>
      <c r="H106">
        <f>COUNTIF(H2:H33,2)</f>
        <v>3</v>
      </c>
      <c r="I106">
        <f>_xlfn.STDEV.P(I2:I33)</f>
        <v>0.16206160817340487</v>
      </c>
      <c r="J106">
        <f>_xlfn.STDEV.P(J2:J33)</f>
        <v>1.4352700094407322</v>
      </c>
      <c r="K106">
        <f>_xlfn.STDEV.P(K2:K33)</f>
        <v>0</v>
      </c>
      <c r="L106">
        <f>_xlfn.STDEV.P(L2:L33)</f>
        <v>40.545268953940194</v>
      </c>
      <c r="M106">
        <f>_xlfn.STDEV.P(M2:M33)</f>
        <v>0.14703252666212727</v>
      </c>
    </row>
    <row r="107" spans="1:13" x14ac:dyDescent="0.25">
      <c r="D107" t="s">
        <v>285</v>
      </c>
      <c r="E107" t="s">
        <v>286</v>
      </c>
      <c r="F107">
        <f>AVERAGE(F34:F104)</f>
        <v>74.661971830985919</v>
      </c>
      <c r="G107">
        <f>SUM(G34:G104)</f>
        <v>31</v>
      </c>
      <c r="H107">
        <f>COUNTIF(H34:H104,1)</f>
        <v>65</v>
      </c>
      <c r="I107">
        <f>AVERAGE(I34:I104)</f>
        <v>0.38957746478873234</v>
      </c>
      <c r="J107">
        <f>AVERAGE(J34:J104)</f>
        <v>27.450704225352112</v>
      </c>
      <c r="K107">
        <f>AVERAGE(K34:K104)</f>
        <v>9.28169014084507</v>
      </c>
      <c r="L107">
        <f>AVERAGE(L34:L104)</f>
        <v>389.56338028169012</v>
      </c>
      <c r="M107">
        <f>AVERAGE(M34:M104)</f>
        <v>1.0539518627346678</v>
      </c>
    </row>
    <row r="108" spans="1:13" x14ac:dyDescent="0.25">
      <c r="E108" t="s">
        <v>287</v>
      </c>
      <c r="F108">
        <f>_xlfn.STDEV.P(F35:F105)</f>
        <v>8.2554509065572113</v>
      </c>
      <c r="H108">
        <f>COUNTIF(H34:H104,2)</f>
        <v>5</v>
      </c>
      <c r="I108">
        <f>_xlfn.STDEV.P(I35:I105)</f>
        <v>0.19822692025678251</v>
      </c>
      <c r="J108">
        <f>_xlfn.STDEV.P(J35:J105)</f>
        <v>1.5915119028388072</v>
      </c>
      <c r="K108">
        <f>_xlfn.STDEV.P(K35:K105)</f>
        <v>1.7473873148474166</v>
      </c>
      <c r="L108">
        <f>_xlfn.STDEV.P(L35:L105)</f>
        <v>62.975584435625755</v>
      </c>
      <c r="M108">
        <f>_xlfn.STDEV.P(M35:M105)</f>
        <v>0.17448109862737735</v>
      </c>
    </row>
    <row r="109" spans="1:13" x14ac:dyDescent="0.25">
      <c r="H109">
        <f>COUNTIF(H35:H105,3)</f>
        <v>1</v>
      </c>
    </row>
  </sheetData>
  <conditionalFormatting sqref="C1:C105 D107">
    <cfRule type="containsText" dxfId="12" priority="11" operator="containsText" text="H3">
      <formula>NOT(ISERROR(SEARCH("H3",C1)))</formula>
    </cfRule>
    <cfRule type="containsText" dxfId="11" priority="12" operator="containsText" text="H2">
      <formula>NOT(ISERROR(SEARCH("H2",C1)))</formula>
    </cfRule>
    <cfRule type="containsText" dxfId="10" priority="13" operator="containsText" text="H1">
      <formula>NOT(ISERROR(SEARCH("H1",C1)))</formula>
    </cfRule>
  </conditionalFormatting>
  <conditionalFormatting sqref="D105">
    <cfRule type="containsText" dxfId="9" priority="1" operator="containsText" text="H3">
      <formula>NOT(ISERROR(SEARCH("H3",D105)))</formula>
    </cfRule>
    <cfRule type="containsText" dxfId="8" priority="2" operator="containsText" text="H2">
      <formula>NOT(ISERROR(SEARCH("H2",D105)))</formula>
    </cfRule>
    <cfRule type="containsText" dxfId="7" priority="3" operator="containsText" text="H1">
      <formula>NOT(ISERROR(SEARCH("H1",D105)))</formula>
    </cfRule>
  </conditionalFormatting>
  <conditionalFormatting sqref="E1:H33 E34:E108 H72:H104 N77:N98">
    <cfRule type="containsText" dxfId="6" priority="10" operator="containsText" text="No">
      <formula>NOT(ISERROR(SEARCH("No",E1)))</formula>
    </cfRule>
  </conditionalFormatting>
  <conditionalFormatting sqref="E1:H33 H72:H104 N77:N98 E34:E108">
    <cfRule type="containsText" dxfId="5" priority="9" operator="containsText" text="YES">
      <formula>NOT(ISERROR(SEARCH("YES",E1)))</formula>
    </cfRule>
  </conditionalFormatting>
  <conditionalFormatting sqref="F1:T104">
    <cfRule type="containsText" dxfId="4" priority="4" operator="containsText" text="N/A">
      <formula>NOT(ISERROR(SEARCH("N/A",F1)))</formula>
    </cfRule>
  </conditionalFormatting>
  <conditionalFormatting sqref="F2:T104">
    <cfRule type="containsBlanks" dxfId="3" priority="5">
      <formula>LEN(TRIM(F2))=0</formula>
    </cfRule>
  </conditionalFormatting>
  <conditionalFormatting sqref="I1:I104">
    <cfRule type="cellIs" dxfId="2" priority="6" operator="equal">
      <formula>#N/A</formula>
    </cfRule>
    <cfRule type="cellIs" dxfId="1" priority="7" operator="equal">
      <formula>FALSE</formula>
    </cfRule>
    <cfRule type="cellIs" dxfId="0" priority="8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70EF-4AA3-45DF-83A6-5775EDBFBBCF}">
  <dimension ref="A7:D16"/>
  <sheetViews>
    <sheetView topLeftCell="A7" workbookViewId="0">
      <selection activeCell="D7" sqref="D7"/>
    </sheetView>
  </sheetViews>
  <sheetFormatPr defaultColWidth="9.140625" defaultRowHeight="14.25" x14ac:dyDescent="0.2"/>
  <cols>
    <col min="1" max="1" width="19.28515625" style="15" customWidth="1"/>
    <col min="2" max="2" width="18.42578125" style="15" customWidth="1"/>
    <col min="3" max="3" width="15.140625" style="15" customWidth="1"/>
    <col min="4" max="16384" width="9.140625" style="15"/>
  </cols>
  <sheetData>
    <row r="7" spans="1:4" ht="41.25" customHeight="1" thickBot="1" x14ac:dyDescent="0.3">
      <c r="A7" s="21"/>
      <c r="B7" s="22" t="s">
        <v>278</v>
      </c>
      <c r="C7" s="22" t="s">
        <v>279</v>
      </c>
      <c r="D7" s="23" t="s">
        <v>280</v>
      </c>
    </row>
    <row r="8" spans="1:4" ht="21" customHeight="1" thickTop="1" x14ac:dyDescent="0.2">
      <c r="A8" s="24" t="s">
        <v>258</v>
      </c>
      <c r="B8" s="25" t="s">
        <v>288</v>
      </c>
      <c r="C8" s="25" t="s">
        <v>289</v>
      </c>
      <c r="D8" s="26" t="s">
        <v>306</v>
      </c>
    </row>
    <row r="9" spans="1:4" ht="21" customHeight="1" x14ac:dyDescent="0.2">
      <c r="A9" s="16" t="s">
        <v>282</v>
      </c>
      <c r="B9" s="19" t="s">
        <v>290</v>
      </c>
      <c r="C9" s="19" t="s">
        <v>291</v>
      </c>
      <c r="D9" s="19" t="s">
        <v>306</v>
      </c>
    </row>
    <row r="10" spans="1:4" ht="39.75" customHeight="1" x14ac:dyDescent="0.2">
      <c r="A10" s="27" t="s">
        <v>281</v>
      </c>
      <c r="B10" s="25" t="s">
        <v>292</v>
      </c>
      <c r="C10" s="25" t="s">
        <v>293</v>
      </c>
      <c r="D10" s="25" t="s">
        <v>306</v>
      </c>
    </row>
    <row r="11" spans="1:4" ht="39.75" customHeight="1" x14ac:dyDescent="0.2">
      <c r="A11" s="17" t="s">
        <v>294</v>
      </c>
      <c r="B11" s="19" t="s">
        <v>295</v>
      </c>
      <c r="C11" s="19" t="s">
        <v>296</v>
      </c>
      <c r="D11" s="19" t="s">
        <v>307</v>
      </c>
    </row>
    <row r="12" spans="1:4" ht="45.75" customHeight="1" x14ac:dyDescent="0.2">
      <c r="A12" s="27" t="s">
        <v>310</v>
      </c>
      <c r="B12" s="25" t="s">
        <v>297</v>
      </c>
      <c r="C12" s="25" t="s">
        <v>298</v>
      </c>
      <c r="D12" s="25" t="s">
        <v>307</v>
      </c>
    </row>
    <row r="13" spans="1:4" ht="21" customHeight="1" x14ac:dyDescent="0.2">
      <c r="A13" s="18" t="s">
        <v>283</v>
      </c>
      <c r="B13" s="19" t="s">
        <v>299</v>
      </c>
      <c r="C13" s="19" t="s">
        <v>300</v>
      </c>
      <c r="D13" s="19" t="s">
        <v>307</v>
      </c>
    </row>
    <row r="14" spans="1:4" ht="21" customHeight="1" x14ac:dyDescent="0.2">
      <c r="A14" s="28" t="s">
        <v>303</v>
      </c>
      <c r="B14" s="25" t="s">
        <v>304</v>
      </c>
      <c r="C14" s="25" t="s">
        <v>305</v>
      </c>
      <c r="D14" s="25" t="s">
        <v>307</v>
      </c>
    </row>
    <row r="15" spans="1:4" ht="48" thickBot="1" x14ac:dyDescent="0.25">
      <c r="A15" s="23" t="s">
        <v>308</v>
      </c>
      <c r="B15" s="20" t="s">
        <v>301</v>
      </c>
      <c r="C15" s="20" t="s">
        <v>302</v>
      </c>
      <c r="D15" s="20" t="s">
        <v>311</v>
      </c>
    </row>
    <row r="16" spans="1:4" ht="15" thickTop="1" x14ac:dyDescent="0.2">
      <c r="A16" s="15" t="s">
        <v>309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D8C2-5A30-4ECB-9E55-25FC26C2558D}">
  <dimension ref="A1:AB103"/>
  <sheetViews>
    <sheetView topLeftCell="A102" zoomScaleNormal="100" workbookViewId="0">
      <selection activeCell="M1" sqref="M1"/>
    </sheetView>
  </sheetViews>
  <sheetFormatPr defaultRowHeight="15" x14ac:dyDescent="0.25"/>
  <cols>
    <col min="1" max="1" width="9.85546875" customWidth="1"/>
    <col min="2" max="2" width="14.140625" customWidth="1"/>
    <col min="3" max="4" width="11.5703125" customWidth="1"/>
  </cols>
  <sheetData>
    <row r="1" spans="1:28" s="2" customFormat="1" x14ac:dyDescent="0.25">
      <c r="A1" s="2" t="s">
        <v>19</v>
      </c>
      <c r="B1" s="2" t="s">
        <v>21</v>
      </c>
      <c r="C1" s="2" t="s">
        <v>14</v>
      </c>
      <c r="D1" s="2" t="s">
        <v>15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</row>
    <row r="2" spans="1:28" x14ac:dyDescent="0.25">
      <c r="A2">
        <v>1</v>
      </c>
      <c r="B2" s="1">
        <v>1002</v>
      </c>
      <c r="C2">
        <v>1</v>
      </c>
      <c r="D2">
        <v>1</v>
      </c>
      <c r="E2">
        <v>-5.6560479347341402E-2</v>
      </c>
      <c r="F2">
        <v>1.9014443218568</v>
      </c>
      <c r="G2">
        <v>1.54118124572893</v>
      </c>
      <c r="H2">
        <v>-0.38139947369162203</v>
      </c>
      <c r="I2">
        <v>2.3416801510301402</v>
      </c>
      <c r="J2">
        <v>2.2803408258564399</v>
      </c>
      <c r="K2">
        <v>-0.129801699798131</v>
      </c>
      <c r="L2">
        <v>2.9106500239712898</v>
      </c>
      <c r="M2">
        <v>3.7230141479043999</v>
      </c>
      <c r="N2">
        <v>-5.9272764863233997E-2</v>
      </c>
      <c r="O2">
        <v>2.80939504249949</v>
      </c>
      <c r="P2">
        <v>3.7320780309788999</v>
      </c>
      <c r="Q2">
        <v>-1.5916772848242899</v>
      </c>
      <c r="R2">
        <v>4.8561542833939004</v>
      </c>
      <c r="S2">
        <v>2.7260370576284898</v>
      </c>
      <c r="T2">
        <v>-6.2283880344479501</v>
      </c>
      <c r="U2">
        <v>16.4573718009195</v>
      </c>
      <c r="V2">
        <v>8.0543360024666999</v>
      </c>
      <c r="W2">
        <v>-6.3293365068534602</v>
      </c>
      <c r="X2">
        <v>16.598758045818201</v>
      </c>
      <c r="Y2">
        <v>8.0551509094649898</v>
      </c>
      <c r="Z2">
        <v>-2.9883639207021999</v>
      </c>
      <c r="AA2">
        <v>8.78153825398355</v>
      </c>
      <c r="AB2">
        <v>5.5214379769302599</v>
      </c>
    </row>
    <row r="3" spans="1:28" x14ac:dyDescent="0.25">
      <c r="A3">
        <v>2</v>
      </c>
      <c r="B3">
        <v>1004</v>
      </c>
      <c r="C3">
        <v>1</v>
      </c>
      <c r="D3">
        <v>1</v>
      </c>
      <c r="E3">
        <v>0.223383865799025</v>
      </c>
      <c r="F3">
        <v>3.7674649202322601</v>
      </c>
      <c r="G3">
        <v>2.1569964632776499</v>
      </c>
      <c r="H3">
        <v>0.91902772398727905</v>
      </c>
      <c r="I3">
        <v>3.00605154821951</v>
      </c>
      <c r="J3">
        <v>2.7454663631860199</v>
      </c>
      <c r="K3">
        <v>-0.21220573833249401</v>
      </c>
      <c r="L3">
        <v>5.4105824381563901</v>
      </c>
      <c r="M3">
        <v>4.4897447649645796</v>
      </c>
      <c r="N3">
        <v>-0.238541375632803</v>
      </c>
      <c r="O3">
        <v>5.4629823703463902</v>
      </c>
      <c r="P3">
        <v>4.4833880341013401</v>
      </c>
      <c r="Q3">
        <v>1.6936504478637999E-2</v>
      </c>
      <c r="R3">
        <v>4.4916730247980903</v>
      </c>
      <c r="S3">
        <v>3.56524024659136</v>
      </c>
      <c r="T3">
        <v>-0.93841547574205997</v>
      </c>
      <c r="U3">
        <v>4.69563385495983</v>
      </c>
      <c r="V3">
        <v>11.052103973187</v>
      </c>
      <c r="W3">
        <v>-1.01467765333988</v>
      </c>
      <c r="X3">
        <v>4.7847210317662503</v>
      </c>
      <c r="Y3">
        <v>11.077801308388899</v>
      </c>
      <c r="Z3">
        <v>-0.67657878908094005</v>
      </c>
      <c r="AA3">
        <v>3.9097482378050099</v>
      </c>
      <c r="AB3">
        <v>7.0167374759081902</v>
      </c>
    </row>
    <row r="4" spans="1:28" x14ac:dyDescent="0.25">
      <c r="A4">
        <v>3</v>
      </c>
      <c r="B4">
        <v>1007</v>
      </c>
      <c r="C4">
        <v>1</v>
      </c>
      <c r="D4">
        <v>1</v>
      </c>
      <c r="E4">
        <v>1.1878559953662899</v>
      </c>
      <c r="F4">
        <v>-0.93382055804432396</v>
      </c>
      <c r="G4">
        <v>3.67163363111111</v>
      </c>
      <c r="H4">
        <v>1.02160982324321</v>
      </c>
      <c r="I4">
        <v>-0.15599941521607399</v>
      </c>
      <c r="J4">
        <v>3.51615315340963</v>
      </c>
      <c r="K4">
        <v>2.6502609526652399</v>
      </c>
      <c r="L4">
        <v>-2.4591445766469899</v>
      </c>
      <c r="M4">
        <v>6.37449231093498</v>
      </c>
      <c r="N4">
        <v>2.5633044414662298</v>
      </c>
      <c r="O4">
        <v>-2.3046741790468399</v>
      </c>
      <c r="P4">
        <v>6.3256843205972499</v>
      </c>
      <c r="Q4">
        <v>1.23573693121935</v>
      </c>
      <c r="R4">
        <v>0.173457967756213</v>
      </c>
      <c r="S4">
        <v>4.59122455007018</v>
      </c>
      <c r="T4">
        <v>-1.1393476165893601E-2</v>
      </c>
      <c r="U4">
        <v>6.5420558632289199</v>
      </c>
      <c r="V4">
        <v>10.681960978556701</v>
      </c>
      <c r="W4">
        <v>0.33712737911193202</v>
      </c>
      <c r="X4">
        <v>5.9401113333767599</v>
      </c>
      <c r="Y4">
        <v>10.729819427578899</v>
      </c>
      <c r="Z4">
        <v>0.644081435355779</v>
      </c>
      <c r="AA4">
        <v>3.36516542821616</v>
      </c>
      <c r="AB4">
        <v>7.3008459352987201</v>
      </c>
    </row>
    <row r="5" spans="1:28" x14ac:dyDescent="0.25">
      <c r="A5">
        <v>4</v>
      </c>
      <c r="B5">
        <v>1009</v>
      </c>
      <c r="C5">
        <v>1</v>
      </c>
      <c r="D5">
        <v>1</v>
      </c>
      <c r="E5">
        <v>-0.48104122720804698</v>
      </c>
      <c r="F5">
        <v>2.6731035896507001</v>
      </c>
      <c r="G5">
        <v>1.92615099854065</v>
      </c>
      <c r="H5">
        <v>-0.49980185391593801</v>
      </c>
      <c r="I5">
        <v>2.9806969833612298</v>
      </c>
      <c r="J5">
        <v>2.3099007142640402</v>
      </c>
      <c r="K5">
        <v>7.9427333228435398E-2</v>
      </c>
      <c r="L5">
        <v>3.4926345346647798</v>
      </c>
      <c r="M5">
        <v>4.2919485055446502</v>
      </c>
      <c r="N5">
        <v>1.5274024828941701E-2</v>
      </c>
      <c r="O5">
        <v>3.54443306985995</v>
      </c>
      <c r="P5">
        <v>4.25386855508801</v>
      </c>
      <c r="Q5">
        <v>-0.13218609649399499</v>
      </c>
      <c r="R5">
        <v>3.2772513444434201</v>
      </c>
      <c r="S5">
        <v>2.9652177953041501</v>
      </c>
      <c r="T5">
        <v>-3.6408331908333</v>
      </c>
      <c r="U5">
        <v>11.0918772008659</v>
      </c>
      <c r="V5">
        <v>7.3051853860664098</v>
      </c>
      <c r="W5">
        <v>-3.62218853674882</v>
      </c>
      <c r="X5">
        <v>10.9341439596316</v>
      </c>
      <c r="Y5">
        <v>7.4031057434176404</v>
      </c>
      <c r="Z5">
        <v>-1.7717369946461501</v>
      </c>
      <c r="AA5">
        <v>5.7730278100710901</v>
      </c>
      <c r="AB5">
        <v>5.1898529374261804</v>
      </c>
    </row>
    <row r="6" spans="1:28" x14ac:dyDescent="0.25">
      <c r="A6">
        <v>5</v>
      </c>
      <c r="B6">
        <v>1010</v>
      </c>
      <c r="C6">
        <v>1</v>
      </c>
      <c r="D6">
        <v>1</v>
      </c>
      <c r="E6">
        <v>-0.13994166628340901</v>
      </c>
      <c r="F6">
        <v>2.01897583865791</v>
      </c>
      <c r="G6">
        <v>2.0930410254154399</v>
      </c>
      <c r="H6">
        <v>-0.40935296787258102</v>
      </c>
      <c r="I6">
        <v>2.5511765447652901</v>
      </c>
      <c r="J6">
        <v>2.8620876407126898</v>
      </c>
      <c r="K6">
        <v>-0.53310491840256402</v>
      </c>
      <c r="L6">
        <v>3.8300378090957299</v>
      </c>
      <c r="M6">
        <v>4.2728344248791599</v>
      </c>
      <c r="N6">
        <v>-0.454966294497751</v>
      </c>
      <c r="O6">
        <v>3.78499174390861</v>
      </c>
      <c r="P6">
        <v>4.2683413541462603</v>
      </c>
      <c r="Q6">
        <v>-0.28436305030857201</v>
      </c>
      <c r="R6">
        <v>3.03770149954142</v>
      </c>
      <c r="S6">
        <v>3.3912293395103301</v>
      </c>
      <c r="T6">
        <v>-2.6819024629552199</v>
      </c>
      <c r="U6">
        <v>9.5653436965690304</v>
      </c>
      <c r="V6">
        <v>10.506220224316399</v>
      </c>
      <c r="W6">
        <v>-2.7947353805417099</v>
      </c>
      <c r="X6">
        <v>9.5816109822090798</v>
      </c>
      <c r="Y6">
        <v>10.4903949105954</v>
      </c>
      <c r="Z6">
        <v>-3.0299354249334098</v>
      </c>
      <c r="AA6">
        <v>8.8084040312712606</v>
      </c>
      <c r="AB6">
        <v>6.7040641208994201</v>
      </c>
    </row>
    <row r="7" spans="1:28" x14ac:dyDescent="0.25">
      <c r="A7">
        <v>6</v>
      </c>
      <c r="B7">
        <v>1011</v>
      </c>
      <c r="C7">
        <v>1</v>
      </c>
      <c r="D7">
        <v>1</v>
      </c>
      <c r="E7">
        <v>-0.25648944598476098</v>
      </c>
      <c r="F7">
        <v>2.06039043008523</v>
      </c>
      <c r="G7">
        <v>1.40541091115383</v>
      </c>
      <c r="H7">
        <v>-2.4587129398930901E-2</v>
      </c>
      <c r="I7">
        <v>1.6942714053869901</v>
      </c>
      <c r="J7">
        <v>2.4723303776291199</v>
      </c>
      <c r="K7">
        <v>0.14684052907981801</v>
      </c>
      <c r="L7">
        <v>2.53057895256496</v>
      </c>
      <c r="M7">
        <v>3.55730953579081</v>
      </c>
      <c r="N7">
        <v>0.119972288460637</v>
      </c>
      <c r="O7">
        <v>2.4939016310161599</v>
      </c>
      <c r="P7">
        <v>3.5685570833168101</v>
      </c>
      <c r="Q7">
        <v>-0.97973209448656695</v>
      </c>
      <c r="R7">
        <v>3.6615870344877099</v>
      </c>
      <c r="S7">
        <v>2.7436142057517601</v>
      </c>
      <c r="T7">
        <v>-1.5752644522618999</v>
      </c>
      <c r="U7">
        <v>4.9999470418272303</v>
      </c>
      <c r="V7">
        <v>12.766255324317701</v>
      </c>
      <c r="W7">
        <v>-1.63350177918406</v>
      </c>
      <c r="X7">
        <v>5.1297235327033501</v>
      </c>
      <c r="Y7">
        <v>12.7575783227635</v>
      </c>
      <c r="Z7">
        <v>2.0936968191365202E-2</v>
      </c>
      <c r="AA7">
        <v>2.2481850525430298</v>
      </c>
      <c r="AB7">
        <v>8.7357736957760803</v>
      </c>
    </row>
    <row r="8" spans="1:28" x14ac:dyDescent="0.25">
      <c r="A8">
        <v>7</v>
      </c>
      <c r="B8">
        <v>1012</v>
      </c>
      <c r="C8">
        <v>1</v>
      </c>
      <c r="D8">
        <v>1</v>
      </c>
      <c r="E8">
        <v>-0.29799290579522197</v>
      </c>
      <c r="F8">
        <v>3.0103914548613102</v>
      </c>
      <c r="G8">
        <v>5.5306311075391799</v>
      </c>
      <c r="H8">
        <v>5.3087857022072998E-2</v>
      </c>
      <c r="I8">
        <v>3.0758260658422101</v>
      </c>
      <c r="J8">
        <v>5.8498626686896698</v>
      </c>
      <c r="K8">
        <v>-0.34050866253456302</v>
      </c>
      <c r="L8">
        <v>3.1785683637068098</v>
      </c>
      <c r="M8">
        <v>8.6600562583367395</v>
      </c>
      <c r="N8">
        <v>-0.37670300936119799</v>
      </c>
      <c r="O8">
        <v>3.2522041161106001</v>
      </c>
      <c r="P8">
        <v>8.6470836736712293</v>
      </c>
      <c r="Q8">
        <v>-0.14914341552479399</v>
      </c>
      <c r="R8">
        <v>3.20595119259352</v>
      </c>
      <c r="S8">
        <v>6.8036918899804402</v>
      </c>
      <c r="T8">
        <v>-1.75399072606946</v>
      </c>
      <c r="U8">
        <v>8.81530879951179</v>
      </c>
      <c r="V8">
        <v>9.6504507331493503</v>
      </c>
      <c r="W8">
        <v>-1.67179100201946</v>
      </c>
      <c r="X8">
        <v>8.6923758512169194</v>
      </c>
      <c r="Y8">
        <v>9.6496427185426406</v>
      </c>
      <c r="Z8">
        <v>-0.155328223068498</v>
      </c>
      <c r="AA8">
        <v>5.1919047313193198</v>
      </c>
      <c r="AB8">
        <v>6.8298892005191201</v>
      </c>
    </row>
    <row r="9" spans="1:28" x14ac:dyDescent="0.25">
      <c r="A9">
        <v>8</v>
      </c>
      <c r="B9">
        <v>1013</v>
      </c>
      <c r="C9">
        <v>1</v>
      </c>
      <c r="D9">
        <v>1</v>
      </c>
      <c r="E9">
        <v>1.09536258092057</v>
      </c>
      <c r="F9">
        <v>2.63039370544266</v>
      </c>
      <c r="G9">
        <v>1.8735902634136301</v>
      </c>
      <c r="H9">
        <v>1.6696236150672701</v>
      </c>
      <c r="I9">
        <v>1.75904507936868</v>
      </c>
      <c r="J9">
        <v>2.2978751468779701</v>
      </c>
      <c r="K9">
        <v>-0.43700030106452997</v>
      </c>
      <c r="L9">
        <v>5.4826831078259604</v>
      </c>
      <c r="M9">
        <v>4.0635829130229997</v>
      </c>
      <c r="N9">
        <v>-0.36375288303272701</v>
      </c>
      <c r="O9">
        <v>5.3413306099348903</v>
      </c>
      <c r="P9">
        <v>4.0974889149182996</v>
      </c>
      <c r="Q9">
        <v>0.69916786775114304</v>
      </c>
      <c r="R9">
        <v>3.5205975584781202</v>
      </c>
      <c r="S9">
        <v>2.9924648369962399</v>
      </c>
      <c r="T9">
        <v>-1.11560718960214</v>
      </c>
      <c r="U9">
        <v>7.3926395245899101</v>
      </c>
      <c r="V9">
        <v>8.8514336524205603</v>
      </c>
      <c r="W9">
        <v>-1.3343580480742301</v>
      </c>
      <c r="X9">
        <v>7.7655890149835196</v>
      </c>
      <c r="Y9">
        <v>8.6991705003843691</v>
      </c>
      <c r="Z9">
        <v>-0.37919259230165803</v>
      </c>
      <c r="AA9">
        <v>5.1382826613497503</v>
      </c>
      <c r="AB9">
        <v>6.4037416729545402</v>
      </c>
    </row>
    <row r="10" spans="1:28" x14ac:dyDescent="0.25">
      <c r="A10">
        <v>9</v>
      </c>
      <c r="B10">
        <v>1017</v>
      </c>
      <c r="C10">
        <v>1</v>
      </c>
      <c r="D10">
        <v>1</v>
      </c>
      <c r="E10">
        <v>5.7186913629025997E-2</v>
      </c>
      <c r="F10">
        <v>1.4977273798225099</v>
      </c>
      <c r="G10">
        <v>2.7431090133371998</v>
      </c>
      <c r="H10">
        <v>-0.49081048643770703</v>
      </c>
      <c r="I10">
        <v>2.5186529654765701</v>
      </c>
      <c r="J10">
        <v>3.0235604036332</v>
      </c>
      <c r="K10">
        <v>-1.8171562714961401E-2</v>
      </c>
      <c r="L10">
        <v>3.4564710458074499</v>
      </c>
      <c r="M10">
        <v>4.76614913513614</v>
      </c>
      <c r="N10">
        <v>0.12699453558309201</v>
      </c>
      <c r="O10">
        <v>3.1563422167467601</v>
      </c>
      <c r="P10">
        <v>4.73504235165559</v>
      </c>
      <c r="Q10">
        <v>-0.286584264618852</v>
      </c>
      <c r="R10">
        <v>2.5386281031139699</v>
      </c>
      <c r="S10">
        <v>3.8573057554518502</v>
      </c>
      <c r="T10">
        <v>-1.7939967487517701</v>
      </c>
      <c r="U10">
        <v>7.7637214466922799</v>
      </c>
      <c r="V10">
        <v>7.6194321497454602</v>
      </c>
      <c r="W10">
        <v>-1.90421830872639</v>
      </c>
      <c r="X10">
        <v>7.93106654543943</v>
      </c>
      <c r="Y10">
        <v>7.5774605127796502</v>
      </c>
      <c r="Z10">
        <v>-1.8067064793666401</v>
      </c>
      <c r="AA10">
        <v>5.8113822865628899</v>
      </c>
      <c r="AB10">
        <v>4.9025255910983701</v>
      </c>
    </row>
    <row r="11" spans="1:28" x14ac:dyDescent="0.25">
      <c r="A11">
        <v>10</v>
      </c>
      <c r="B11">
        <v>1018</v>
      </c>
      <c r="C11">
        <v>1</v>
      </c>
      <c r="D11">
        <v>1</v>
      </c>
      <c r="E11">
        <v>-0.55786280492767004</v>
      </c>
      <c r="F11">
        <v>2.3154808364604</v>
      </c>
      <c r="G11">
        <v>2.3691889285104599</v>
      </c>
      <c r="H11">
        <v>-1.5488107331797301</v>
      </c>
      <c r="I11">
        <v>4.10408205905662</v>
      </c>
      <c r="J11">
        <v>2.8969472256690798</v>
      </c>
      <c r="K11">
        <v>-0.85669085611198503</v>
      </c>
      <c r="L11">
        <v>3.6140606097540999</v>
      </c>
      <c r="M11">
        <v>4.7166737304792097</v>
      </c>
      <c r="N11">
        <v>-0.84467413841682704</v>
      </c>
      <c r="O11">
        <v>3.62085479782175</v>
      </c>
      <c r="P11">
        <v>4.7135767523161398</v>
      </c>
      <c r="Q11">
        <v>-1.91332425696998</v>
      </c>
      <c r="R11">
        <v>5.5109842016855399</v>
      </c>
      <c r="S11">
        <v>3.3644871501583902</v>
      </c>
      <c r="T11">
        <v>-5.5584987480567198</v>
      </c>
      <c r="U11">
        <v>14.5015273215002</v>
      </c>
      <c r="V11">
        <v>10.097230408618101</v>
      </c>
      <c r="W11">
        <v>-5.69228037792743</v>
      </c>
      <c r="X11">
        <v>14.6313657374644</v>
      </c>
      <c r="Y11">
        <v>10.0611692029771</v>
      </c>
      <c r="Z11">
        <v>-4.5726195483369496</v>
      </c>
      <c r="AA11">
        <v>10.0468342097658</v>
      </c>
      <c r="AB11">
        <v>7.9125149790517604</v>
      </c>
    </row>
    <row r="12" spans="1:28" x14ac:dyDescent="0.25">
      <c r="A12">
        <v>11</v>
      </c>
      <c r="B12">
        <v>1019</v>
      </c>
      <c r="C12">
        <v>1</v>
      </c>
      <c r="D12">
        <v>1</v>
      </c>
      <c r="E12">
        <v>0.31011237755669302</v>
      </c>
      <c r="F12">
        <v>1.0337461568228701</v>
      </c>
      <c r="G12">
        <v>3.4930479096364802</v>
      </c>
      <c r="H12">
        <v>-2.0539307759782601E-2</v>
      </c>
      <c r="I12">
        <v>1.8954865987538001</v>
      </c>
      <c r="J12">
        <v>3.6840041675156798</v>
      </c>
      <c r="K12">
        <v>1.3814647331929499</v>
      </c>
      <c r="L12">
        <v>1.0234735158074999</v>
      </c>
      <c r="M12">
        <v>6.4978790515248601</v>
      </c>
      <c r="N12">
        <v>1.38311590293418</v>
      </c>
      <c r="O12">
        <v>1.0083407486290601</v>
      </c>
      <c r="P12">
        <v>6.52173873511276</v>
      </c>
      <c r="Q12">
        <v>-0.51162689395078798</v>
      </c>
      <c r="R12">
        <v>3.2918445643666101</v>
      </c>
      <c r="S12">
        <v>4.4377238994455404</v>
      </c>
      <c r="T12">
        <v>-2.77917341619791</v>
      </c>
      <c r="U12">
        <v>11.782764130443701</v>
      </c>
      <c r="V12">
        <v>9.1614265126566696</v>
      </c>
      <c r="W12">
        <v>-2.9521246729376398</v>
      </c>
      <c r="X12">
        <v>11.9343545786394</v>
      </c>
      <c r="Y12">
        <v>9.1697208591730099</v>
      </c>
      <c r="Z12">
        <v>-1.48667810139658</v>
      </c>
      <c r="AA12">
        <v>6.5515460766622997</v>
      </c>
      <c r="AB12">
        <v>6.7202869670885503</v>
      </c>
    </row>
    <row r="13" spans="1:28" x14ac:dyDescent="0.25">
      <c r="A13">
        <v>12</v>
      </c>
      <c r="B13">
        <v>1020</v>
      </c>
      <c r="C13">
        <v>1</v>
      </c>
      <c r="D13">
        <v>1</v>
      </c>
      <c r="E13">
        <v>-0.57979908461823204</v>
      </c>
      <c r="F13">
        <v>2.4983438493020498</v>
      </c>
      <c r="G13">
        <v>2.1798580547961102</v>
      </c>
      <c r="H13">
        <v>-0.696600889254537</v>
      </c>
      <c r="I13">
        <v>2.8501376888093901</v>
      </c>
      <c r="J13">
        <v>2.5508009488475198</v>
      </c>
      <c r="K13">
        <v>-0.44683966466379899</v>
      </c>
      <c r="L13">
        <v>3.8438021766351098</v>
      </c>
      <c r="M13">
        <v>4.1558389443769803</v>
      </c>
      <c r="N13">
        <v>-0.75281253111686397</v>
      </c>
      <c r="O13">
        <v>4.1817829809584204</v>
      </c>
      <c r="P13">
        <v>4.1043061875658298</v>
      </c>
      <c r="Q13">
        <v>-0.72846704707169396</v>
      </c>
      <c r="R13">
        <v>3.2573964043794801</v>
      </c>
      <c r="S13">
        <v>3.2189455130806199</v>
      </c>
      <c r="T13">
        <v>-0.59296009259222204</v>
      </c>
      <c r="U13">
        <v>5.51174465213104</v>
      </c>
      <c r="V13">
        <v>9.0502498500141595</v>
      </c>
      <c r="W13">
        <v>-0.77007710257152395</v>
      </c>
      <c r="X13">
        <v>5.7739550096881196</v>
      </c>
      <c r="Y13">
        <v>8.9916621292718606</v>
      </c>
      <c r="Z13">
        <v>-0.99381591175161799</v>
      </c>
      <c r="AA13">
        <v>5.0474093650564997</v>
      </c>
      <c r="AB13">
        <v>5.7534626012301802</v>
      </c>
    </row>
    <row r="14" spans="1:28" x14ac:dyDescent="0.25">
      <c r="A14">
        <v>13</v>
      </c>
      <c r="B14">
        <v>1022</v>
      </c>
      <c r="C14">
        <v>1</v>
      </c>
      <c r="D14">
        <v>1</v>
      </c>
      <c r="E14">
        <v>-1.0654566546344799</v>
      </c>
      <c r="F14">
        <v>2.75841506485399</v>
      </c>
      <c r="G14">
        <v>3.6120989932668301</v>
      </c>
      <c r="H14">
        <v>-0.885044856811809</v>
      </c>
      <c r="I14">
        <v>2.6132916031249001</v>
      </c>
      <c r="J14">
        <v>4.1420437037882802</v>
      </c>
      <c r="K14">
        <v>-1.6884029162760199</v>
      </c>
      <c r="L14">
        <v>5.1281519200155996</v>
      </c>
      <c r="M14">
        <v>6.25376766347844</v>
      </c>
      <c r="N14">
        <v>-1.24357306111864</v>
      </c>
      <c r="O14">
        <v>4.3824425901852004</v>
      </c>
      <c r="P14">
        <v>6.3484799514325898</v>
      </c>
      <c r="Q14">
        <v>-1.4814472267793399</v>
      </c>
      <c r="R14">
        <v>3.9712445495994402</v>
      </c>
      <c r="S14">
        <v>5.0189007952141402</v>
      </c>
      <c r="T14">
        <v>-1.31404086894454</v>
      </c>
      <c r="U14">
        <v>6.0587491359463801</v>
      </c>
      <c r="V14">
        <v>9.0524073938179903</v>
      </c>
      <c r="W14">
        <v>-1.2511483054110599</v>
      </c>
      <c r="X14">
        <v>5.9354023015375601</v>
      </c>
      <c r="Y14">
        <v>9.1446337950956895</v>
      </c>
      <c r="Z14">
        <v>-1.6498222669927201</v>
      </c>
      <c r="AA14">
        <v>4.81377698816934</v>
      </c>
      <c r="AB14">
        <v>5.9869609972819102</v>
      </c>
    </row>
    <row r="15" spans="1:28" x14ac:dyDescent="0.25">
      <c r="A15">
        <v>14</v>
      </c>
      <c r="B15">
        <v>1024</v>
      </c>
      <c r="C15">
        <v>1</v>
      </c>
      <c r="D15">
        <v>1</v>
      </c>
      <c r="E15">
        <v>-0.20862325398005899</v>
      </c>
      <c r="F15">
        <v>2.48716040276196</v>
      </c>
      <c r="G15">
        <v>3.0967563685169601</v>
      </c>
      <c r="H15">
        <v>-0.41811754248218003</v>
      </c>
      <c r="I15">
        <v>2.77653804341197</v>
      </c>
      <c r="J15">
        <v>4.15370178737634</v>
      </c>
      <c r="K15">
        <v>-0.25141109614819002</v>
      </c>
      <c r="L15">
        <v>4.3338538954832897</v>
      </c>
      <c r="M15">
        <v>5.6956556707495398</v>
      </c>
      <c r="N15">
        <v>-0.224322764436377</v>
      </c>
      <c r="O15">
        <v>4.2528174635069096</v>
      </c>
      <c r="P15">
        <v>5.69652292886434</v>
      </c>
      <c r="Q15">
        <v>-0.15093868096434801</v>
      </c>
      <c r="R15">
        <v>3.5507439451588301</v>
      </c>
      <c r="S15">
        <v>4.5518859931183204</v>
      </c>
      <c r="T15">
        <v>-2.77829056225398</v>
      </c>
      <c r="U15">
        <v>9.4093461929963595</v>
      </c>
      <c r="V15">
        <v>14.2209540038341</v>
      </c>
      <c r="W15">
        <v>-2.69342066145341</v>
      </c>
      <c r="X15">
        <v>9.2578011899407198</v>
      </c>
      <c r="Y15">
        <v>14.2942772101493</v>
      </c>
      <c r="Z15">
        <v>-3.4843933612390598</v>
      </c>
      <c r="AA15">
        <v>8.0277075403847693</v>
      </c>
      <c r="AB15">
        <v>10.0021207227277</v>
      </c>
    </row>
    <row r="16" spans="1:28" x14ac:dyDescent="0.25">
      <c r="A16">
        <v>15</v>
      </c>
      <c r="B16">
        <v>1026</v>
      </c>
      <c r="C16">
        <v>1</v>
      </c>
      <c r="D16">
        <v>1</v>
      </c>
      <c r="E16">
        <v>-0.11565238454486999</v>
      </c>
      <c r="F16">
        <v>1.2888730888782101</v>
      </c>
      <c r="G16">
        <v>1.6131335303746099</v>
      </c>
      <c r="H16">
        <v>-0.61735240351361498</v>
      </c>
      <c r="I16">
        <v>2.1891632323340602</v>
      </c>
      <c r="J16">
        <v>2.3282023715545601</v>
      </c>
      <c r="K16">
        <v>5.4927983189853501E-2</v>
      </c>
      <c r="L16">
        <v>1.96608856984686</v>
      </c>
      <c r="M16">
        <v>3.80981767677505</v>
      </c>
      <c r="N16">
        <v>9.9708441147251803E-2</v>
      </c>
      <c r="O16">
        <v>1.87404317602585</v>
      </c>
      <c r="P16">
        <v>3.8142192535660899</v>
      </c>
      <c r="Q16">
        <v>-2.9741434982117801E-2</v>
      </c>
      <c r="R16">
        <v>1.9586811007693099</v>
      </c>
      <c r="S16">
        <v>3.03040912339099</v>
      </c>
      <c r="T16">
        <v>-3.8220464725356398</v>
      </c>
      <c r="U16">
        <v>11.09544272098</v>
      </c>
      <c r="V16">
        <v>10.235410010331201</v>
      </c>
      <c r="W16">
        <v>-4.14768597731406</v>
      </c>
      <c r="X16">
        <v>11.3916309185053</v>
      </c>
      <c r="Y16">
        <v>10.2363457956926</v>
      </c>
      <c r="Z16">
        <v>-3.7578898359966599</v>
      </c>
      <c r="AA16">
        <v>9.4160406717990295</v>
      </c>
      <c r="AB16">
        <v>7.1389251949601702</v>
      </c>
    </row>
    <row r="17" spans="1:28" x14ac:dyDescent="0.25">
      <c r="A17">
        <v>16</v>
      </c>
      <c r="B17">
        <v>1027</v>
      </c>
      <c r="C17">
        <v>1</v>
      </c>
      <c r="D17">
        <v>1</v>
      </c>
      <c r="E17">
        <v>0.95094641713375005</v>
      </c>
      <c r="F17">
        <v>1.6432122867135499</v>
      </c>
      <c r="G17">
        <v>2.3032664312462598</v>
      </c>
      <c r="H17">
        <v>1.6090210227088599</v>
      </c>
      <c r="I17">
        <v>1.25163917713043</v>
      </c>
      <c r="J17">
        <v>3.0394208437299999</v>
      </c>
      <c r="K17">
        <v>0.379350327559133</v>
      </c>
      <c r="L17">
        <v>3.5358402500749602</v>
      </c>
      <c r="M17">
        <v>4.7214781884761603</v>
      </c>
      <c r="N17">
        <v>0.32314490386884598</v>
      </c>
      <c r="O17">
        <v>3.63433944646337</v>
      </c>
      <c r="P17">
        <v>4.6881931947571598</v>
      </c>
      <c r="Q17">
        <v>1.18799388914848</v>
      </c>
      <c r="R17">
        <v>1.8510821802684601</v>
      </c>
      <c r="S17">
        <v>3.90598936907675</v>
      </c>
      <c r="T17">
        <v>0.81643810788499505</v>
      </c>
      <c r="U17">
        <v>2.7020657285238299</v>
      </c>
      <c r="V17">
        <v>11.713685876332899</v>
      </c>
      <c r="W17">
        <v>0.80254167056637005</v>
      </c>
      <c r="X17">
        <v>2.7438921015619901</v>
      </c>
      <c r="Y17">
        <v>11.712819638974</v>
      </c>
      <c r="Z17">
        <v>0.44145128281533602</v>
      </c>
      <c r="AA17">
        <v>2.7937716103000101</v>
      </c>
      <c r="AB17">
        <v>7.6198671280501404</v>
      </c>
    </row>
    <row r="18" spans="1:28" x14ac:dyDescent="0.25">
      <c r="A18">
        <v>17</v>
      </c>
      <c r="B18">
        <v>1029</v>
      </c>
      <c r="C18">
        <v>1</v>
      </c>
      <c r="D18">
        <v>1</v>
      </c>
      <c r="E18">
        <v>0.46344697500930698</v>
      </c>
      <c r="F18">
        <v>1.3347121675192299</v>
      </c>
      <c r="G18">
        <v>3.7021205633892502</v>
      </c>
      <c r="H18">
        <v>-0.32605983525934401</v>
      </c>
      <c r="I18">
        <v>3.2361256195955699</v>
      </c>
      <c r="J18">
        <v>4.3886288921892902</v>
      </c>
      <c r="K18">
        <v>0.25981721840513</v>
      </c>
      <c r="L18">
        <v>3.1949037314380999</v>
      </c>
      <c r="M18">
        <v>7.5180559824404796</v>
      </c>
      <c r="N18">
        <v>0.45533121052046699</v>
      </c>
      <c r="O18">
        <v>2.9367841501437901</v>
      </c>
      <c r="P18">
        <v>7.5746141049513804</v>
      </c>
      <c r="Q18">
        <v>-0.30955129015400701</v>
      </c>
      <c r="R18">
        <v>3.5261674022638601</v>
      </c>
      <c r="S18">
        <v>5.5190090606176598</v>
      </c>
      <c r="T18">
        <v>-1.2482852465068299</v>
      </c>
      <c r="U18">
        <v>7.6355285573681098</v>
      </c>
      <c r="V18">
        <v>11.5677722273256</v>
      </c>
      <c r="W18">
        <v>-1.4875441637862199</v>
      </c>
      <c r="X18">
        <v>7.9760154682318198</v>
      </c>
      <c r="Y18">
        <v>11.5463545068505</v>
      </c>
      <c r="Z18">
        <v>-0.37284062776773402</v>
      </c>
      <c r="AA18">
        <v>4.2256681850261</v>
      </c>
      <c r="AB18">
        <v>8.2554071619768195</v>
      </c>
    </row>
    <row r="19" spans="1:28" x14ac:dyDescent="0.25">
      <c r="A19">
        <v>18</v>
      </c>
      <c r="B19">
        <v>1030</v>
      </c>
      <c r="C19">
        <v>1</v>
      </c>
      <c r="D19">
        <v>1</v>
      </c>
      <c r="E19">
        <v>-1.3402111895480899</v>
      </c>
      <c r="F19">
        <v>3.2633576218509801</v>
      </c>
      <c r="G19">
        <v>3.0816874295238299</v>
      </c>
      <c r="H19">
        <v>-2.0132970199512998</v>
      </c>
      <c r="I19">
        <v>4.57171483817715</v>
      </c>
      <c r="J19">
        <v>3.3031274979056402</v>
      </c>
      <c r="K19">
        <v>-1.9299150984054201</v>
      </c>
      <c r="L19">
        <v>5.0407977950311302</v>
      </c>
      <c r="M19">
        <v>5.7309999569903702</v>
      </c>
      <c r="N19">
        <v>-1.9296735875606901</v>
      </c>
      <c r="O19">
        <v>5.0470017781721204</v>
      </c>
      <c r="P19">
        <v>5.7296621236941698</v>
      </c>
      <c r="Q19">
        <v>-1.45934179930797</v>
      </c>
      <c r="R19">
        <v>3.9758364115906799</v>
      </c>
      <c r="S19">
        <v>4.5337279865693896</v>
      </c>
      <c r="T19">
        <v>0.153926238133132</v>
      </c>
      <c r="U19">
        <v>4.6592422744911399</v>
      </c>
      <c r="V19">
        <v>9.2052245859988702</v>
      </c>
      <c r="W19">
        <v>1.5660129718098499E-2</v>
      </c>
      <c r="X19">
        <v>4.7612727887058703</v>
      </c>
      <c r="Y19">
        <v>9.2083704535395992</v>
      </c>
      <c r="Z19">
        <v>-2.3693645375391901</v>
      </c>
      <c r="AA19">
        <v>6.6337161106593401</v>
      </c>
      <c r="AB19">
        <v>5.4547906871748699</v>
      </c>
    </row>
    <row r="20" spans="1:28" x14ac:dyDescent="0.25">
      <c r="A20">
        <v>19</v>
      </c>
      <c r="B20">
        <v>1031</v>
      </c>
      <c r="C20">
        <v>1</v>
      </c>
      <c r="D20">
        <v>1</v>
      </c>
      <c r="E20">
        <v>-0.245303335919274</v>
      </c>
      <c r="F20">
        <v>1.21865367528377</v>
      </c>
      <c r="G20">
        <v>3.2895100515125502</v>
      </c>
      <c r="H20">
        <v>-0.29109149092758202</v>
      </c>
      <c r="I20">
        <v>1.93841038190254</v>
      </c>
      <c r="J20">
        <v>3.4995759038425902</v>
      </c>
      <c r="K20">
        <v>-0.80083376683745899</v>
      </c>
      <c r="L20">
        <v>3.9783434898513201</v>
      </c>
      <c r="M20">
        <v>6.2223362386246697</v>
      </c>
      <c r="N20">
        <v>-1.1022004840225701</v>
      </c>
      <c r="O20">
        <v>4.3935253270909502</v>
      </c>
      <c r="P20">
        <v>6.2401376809370603</v>
      </c>
      <c r="Q20">
        <v>-0.92982510556323195</v>
      </c>
      <c r="R20">
        <v>2.9564730346101298</v>
      </c>
      <c r="S20">
        <v>4.5033004071354998</v>
      </c>
      <c r="T20">
        <v>-2.6084446591267199</v>
      </c>
      <c r="U20">
        <v>10.944814044573899</v>
      </c>
      <c r="V20">
        <v>9.2701456408655307</v>
      </c>
      <c r="W20">
        <v>-2.5661668584460702</v>
      </c>
      <c r="X20">
        <v>10.7925744014152</v>
      </c>
      <c r="Y20">
        <v>9.3107263501406496</v>
      </c>
      <c r="Z20">
        <v>-0.14407196042324899</v>
      </c>
      <c r="AA20">
        <v>4.5611200734111303</v>
      </c>
      <c r="AB20">
        <v>6.1915408793209998</v>
      </c>
    </row>
    <row r="21" spans="1:28" x14ac:dyDescent="0.25">
      <c r="A21">
        <v>20</v>
      </c>
      <c r="B21">
        <v>1032</v>
      </c>
      <c r="C21">
        <v>1</v>
      </c>
      <c r="D21">
        <v>1</v>
      </c>
      <c r="E21">
        <v>-6.1263337096479402E-2</v>
      </c>
      <c r="F21">
        <v>1.25201433554662</v>
      </c>
      <c r="G21">
        <v>2.3454478934539602</v>
      </c>
      <c r="H21">
        <v>-0.22853755034019099</v>
      </c>
      <c r="I21">
        <v>1.81690011271888</v>
      </c>
      <c r="J21">
        <v>2.7255116001614601</v>
      </c>
      <c r="K21">
        <v>-0.38486330381686201</v>
      </c>
      <c r="L21">
        <v>3.2521669762595402</v>
      </c>
      <c r="M21">
        <v>4.2374855077467002</v>
      </c>
      <c r="N21">
        <v>-3.5084929401868803E-2</v>
      </c>
      <c r="O21">
        <v>2.73930957457226</v>
      </c>
      <c r="P21">
        <v>4.2566096321573896</v>
      </c>
      <c r="Q21">
        <v>-0.91298903139256404</v>
      </c>
      <c r="R21">
        <v>3.47927582968134</v>
      </c>
      <c r="S21">
        <v>3.1733761523482</v>
      </c>
      <c r="T21">
        <v>-2.0108172275995502</v>
      </c>
      <c r="U21">
        <v>9.3784948310742404</v>
      </c>
      <c r="V21">
        <v>8.3729371401769708</v>
      </c>
      <c r="W21">
        <v>-2.2017301104062001</v>
      </c>
      <c r="X21">
        <v>9.6514868134876792</v>
      </c>
      <c r="Y21">
        <v>8.3479676506540201</v>
      </c>
      <c r="Z21">
        <v>-2.4139475186448598</v>
      </c>
      <c r="AA21">
        <v>8.0221802516861906</v>
      </c>
      <c r="AB21">
        <v>5.3040116995708297</v>
      </c>
    </row>
    <row r="22" spans="1:28" x14ac:dyDescent="0.25">
      <c r="A22">
        <v>21</v>
      </c>
      <c r="B22">
        <v>1033</v>
      </c>
      <c r="C22">
        <v>1</v>
      </c>
      <c r="D22">
        <v>1</v>
      </c>
      <c r="E22">
        <v>0.15147527670742</v>
      </c>
      <c r="F22">
        <v>0.44480175205001798</v>
      </c>
      <c r="G22">
        <v>3.9933727479521499</v>
      </c>
      <c r="H22">
        <v>-8.5968498995491097E-2</v>
      </c>
      <c r="I22">
        <v>1.0308976518267601</v>
      </c>
      <c r="J22">
        <v>4.7140641965209102</v>
      </c>
      <c r="K22">
        <v>-0.45770669385318002</v>
      </c>
      <c r="L22">
        <v>3.4233346933200401</v>
      </c>
      <c r="M22">
        <v>5.8534631858975796</v>
      </c>
      <c r="N22">
        <v>-0.53712831712600995</v>
      </c>
      <c r="O22">
        <v>3.4893543275511201</v>
      </c>
      <c r="P22">
        <v>5.8713734778515798</v>
      </c>
      <c r="Q22">
        <v>-0.31149319121623198</v>
      </c>
      <c r="R22">
        <v>2.3501248205373</v>
      </c>
      <c r="S22">
        <v>4.6536163207509</v>
      </c>
      <c r="T22">
        <v>-0.26294090635487199</v>
      </c>
      <c r="U22">
        <v>5.4100707094734197</v>
      </c>
      <c r="V22">
        <v>10.217263506560901</v>
      </c>
      <c r="W22">
        <v>-0.63390760061601903</v>
      </c>
      <c r="X22">
        <v>5.8324933465427797</v>
      </c>
      <c r="Y22">
        <v>10.193120000050399</v>
      </c>
      <c r="Z22">
        <v>1.4507622523144199</v>
      </c>
      <c r="AA22">
        <v>-0.14226057036262199</v>
      </c>
      <c r="AB22">
        <v>8.26918187402927</v>
      </c>
    </row>
    <row r="23" spans="1:28" x14ac:dyDescent="0.25">
      <c r="A23">
        <v>22</v>
      </c>
      <c r="B23">
        <v>1034</v>
      </c>
      <c r="C23">
        <v>1</v>
      </c>
      <c r="D23">
        <v>1</v>
      </c>
      <c r="E23">
        <v>0.54047593802784</v>
      </c>
      <c r="F23">
        <v>-9.7890765866280594E-2</v>
      </c>
      <c r="G23">
        <v>5.7391676697365401</v>
      </c>
      <c r="H23">
        <v>0.54790506582826304</v>
      </c>
      <c r="I23">
        <v>-2.4931482235697099E-2</v>
      </c>
      <c r="J23">
        <v>6.9098017469285899</v>
      </c>
      <c r="K23">
        <v>-0.323267000113166</v>
      </c>
      <c r="L23">
        <v>3.68869197193714</v>
      </c>
      <c r="M23">
        <v>8.9532417088101894</v>
      </c>
      <c r="N23">
        <v>6.9638494814500407E-2</v>
      </c>
      <c r="O23">
        <v>2.9090061505479601</v>
      </c>
      <c r="P23">
        <v>9.1229416214845696</v>
      </c>
      <c r="Q23">
        <v>-0.21139187318439201</v>
      </c>
      <c r="R23">
        <v>2.3829766011097999</v>
      </c>
      <c r="S23">
        <v>6.8371887202342299</v>
      </c>
      <c r="T23">
        <v>-1.68326808024723</v>
      </c>
      <c r="U23">
        <v>6.2678855936350297</v>
      </c>
      <c r="V23">
        <v>13.3064861586092</v>
      </c>
      <c r="W23">
        <v>-1.97082651100924</v>
      </c>
      <c r="X23">
        <v>6.4752789574726703</v>
      </c>
      <c r="Y23">
        <v>13.372257311286599</v>
      </c>
      <c r="Z23">
        <v>-0.682977831089429</v>
      </c>
      <c r="AA23">
        <v>1.6545302815801799</v>
      </c>
      <c r="AB23">
        <v>10.4024723986588</v>
      </c>
    </row>
    <row r="24" spans="1:28" x14ac:dyDescent="0.25">
      <c r="A24">
        <v>23</v>
      </c>
      <c r="B24">
        <v>1035</v>
      </c>
      <c r="C24">
        <v>1</v>
      </c>
      <c r="D24">
        <v>1</v>
      </c>
      <c r="E24">
        <v>0.71343041132194795</v>
      </c>
      <c r="F24">
        <v>-0.53402937928926697</v>
      </c>
      <c r="G24">
        <v>2.34849514143274</v>
      </c>
      <c r="H24">
        <v>-0.19020055637761199</v>
      </c>
      <c r="I24">
        <v>1.2008176817426801</v>
      </c>
      <c r="J24">
        <v>2.51269449133052</v>
      </c>
      <c r="K24">
        <v>4.3621529807694202E-2</v>
      </c>
      <c r="L24">
        <v>1.5184028190546199</v>
      </c>
      <c r="M24">
        <v>4.4184557866853202</v>
      </c>
      <c r="N24">
        <v>-2.4075513918206198E-2</v>
      </c>
      <c r="O24">
        <v>1.63483719727585</v>
      </c>
      <c r="P24">
        <v>4.3242258622312901</v>
      </c>
      <c r="Q24">
        <v>-0.29139309618519799</v>
      </c>
      <c r="R24">
        <v>1.8872425879935499</v>
      </c>
      <c r="S24">
        <v>3.2224861979157602</v>
      </c>
      <c r="T24">
        <v>-2.0424114774824602</v>
      </c>
      <c r="U24">
        <v>8.6038138032217795</v>
      </c>
      <c r="V24">
        <v>8.8215371583415205</v>
      </c>
      <c r="W24">
        <v>-2.2911428527162898</v>
      </c>
      <c r="X24">
        <v>8.9033068847467298</v>
      </c>
      <c r="Y24">
        <v>8.7680823171198305</v>
      </c>
      <c r="Z24">
        <v>-2.0454569618377598</v>
      </c>
      <c r="AA24">
        <v>6.8952061953342803</v>
      </c>
      <c r="AB24">
        <v>5.6369281830462503</v>
      </c>
    </row>
    <row r="25" spans="1:28" x14ac:dyDescent="0.25">
      <c r="A25">
        <v>24</v>
      </c>
      <c r="B25">
        <v>1036</v>
      </c>
      <c r="C25">
        <v>1</v>
      </c>
      <c r="D25">
        <v>1</v>
      </c>
      <c r="E25">
        <v>-0.70270413868253501</v>
      </c>
      <c r="F25">
        <v>2.6243207755992302</v>
      </c>
      <c r="G25">
        <v>2.2779568454422199</v>
      </c>
      <c r="H25">
        <v>-1.1287196712354</v>
      </c>
      <c r="I25">
        <v>3.7213659075808598</v>
      </c>
      <c r="J25">
        <v>2.4184450876152601</v>
      </c>
      <c r="K25">
        <v>-0.66081728062134304</v>
      </c>
      <c r="L25">
        <v>3.2822177470698501</v>
      </c>
      <c r="M25">
        <v>4.7753725995835898</v>
      </c>
      <c r="N25">
        <v>-0.56265709023028898</v>
      </c>
      <c r="O25">
        <v>3.11797033470115</v>
      </c>
      <c r="P25">
        <v>4.7601591046616001</v>
      </c>
      <c r="Q25">
        <v>-1.16886572055465</v>
      </c>
      <c r="R25">
        <v>4.3847390632723</v>
      </c>
      <c r="S25">
        <v>3.3760519859407601</v>
      </c>
      <c r="T25">
        <v>-4.1122574008279704</v>
      </c>
      <c r="U25">
        <v>11.284355559393701</v>
      </c>
      <c r="V25">
        <v>8.9352925065570794</v>
      </c>
      <c r="W25">
        <v>-4.0996921173951497</v>
      </c>
      <c r="X25">
        <v>11.3196804982943</v>
      </c>
      <c r="Y25">
        <v>8.8422577563506106</v>
      </c>
      <c r="Z25">
        <v>-2.7393124227230099</v>
      </c>
      <c r="AA25">
        <v>7.53659553340459</v>
      </c>
      <c r="AB25">
        <v>5.9280666486508702</v>
      </c>
    </row>
    <row r="26" spans="1:28" x14ac:dyDescent="0.25">
      <c r="A26">
        <v>25</v>
      </c>
      <c r="B26">
        <v>1037</v>
      </c>
      <c r="C26">
        <v>1</v>
      </c>
      <c r="D26">
        <v>1</v>
      </c>
      <c r="E26">
        <v>0.35411717012072502</v>
      </c>
      <c r="F26">
        <v>0.83249541571542995</v>
      </c>
      <c r="G26">
        <v>2.7929951030702602</v>
      </c>
      <c r="H26">
        <v>9.92385108827403E-2</v>
      </c>
      <c r="I26">
        <v>1.23445037005638</v>
      </c>
      <c r="J26">
        <v>3.2215108964632901</v>
      </c>
      <c r="K26">
        <v>0.90217639179853104</v>
      </c>
      <c r="L26">
        <v>2.1316093557881501</v>
      </c>
      <c r="M26">
        <v>4.3015196689539703</v>
      </c>
      <c r="N26">
        <v>0.86072255787069996</v>
      </c>
      <c r="O26">
        <v>2.1950660286633901</v>
      </c>
      <c r="P26">
        <v>4.2765280583328398</v>
      </c>
      <c r="Q26">
        <v>0.297304288790675</v>
      </c>
      <c r="R26">
        <v>2.2965622387396101</v>
      </c>
      <c r="S26">
        <v>3.3388950611747399</v>
      </c>
      <c r="T26">
        <v>-1.2296651112586701</v>
      </c>
      <c r="U26">
        <v>7.7053059871254597</v>
      </c>
      <c r="V26">
        <v>10.432583183533399</v>
      </c>
      <c r="W26">
        <v>-1.43144010119686</v>
      </c>
      <c r="X26">
        <v>8.0757875814318592</v>
      </c>
      <c r="Y26">
        <v>10.303616039438699</v>
      </c>
      <c r="Z26">
        <v>-1.0956667865554599</v>
      </c>
      <c r="AA26">
        <v>5.07122015788637</v>
      </c>
      <c r="AB26">
        <v>7.2881594317621703</v>
      </c>
    </row>
    <row r="27" spans="1:28" x14ac:dyDescent="0.25">
      <c r="A27">
        <v>26</v>
      </c>
      <c r="B27">
        <v>1038</v>
      </c>
      <c r="C27">
        <v>1</v>
      </c>
      <c r="D27">
        <v>1</v>
      </c>
      <c r="E27">
        <v>-0.57570883422205599</v>
      </c>
      <c r="F27">
        <v>2.7278060008130498</v>
      </c>
      <c r="G27">
        <v>2.81144080295002</v>
      </c>
      <c r="H27">
        <v>-0.892539529356147</v>
      </c>
      <c r="I27">
        <v>3.16046383691865</v>
      </c>
      <c r="J27">
        <v>3.6360052073999798</v>
      </c>
      <c r="K27">
        <v>0.17017095745185001</v>
      </c>
      <c r="L27">
        <v>3.29038922860784</v>
      </c>
      <c r="M27">
        <v>5.1410613168286998</v>
      </c>
      <c r="N27">
        <v>0.29832262943203203</v>
      </c>
      <c r="O27">
        <v>3.1062331550676898</v>
      </c>
      <c r="P27">
        <v>5.1413051640935601</v>
      </c>
      <c r="Q27">
        <v>-1.16824959518226</v>
      </c>
      <c r="R27">
        <v>4.1940549967840202</v>
      </c>
      <c r="S27">
        <v>3.8697773219901102</v>
      </c>
      <c r="T27">
        <v>-2.2735303350796601</v>
      </c>
      <c r="U27">
        <v>8.9318898212690403</v>
      </c>
      <c r="V27">
        <v>8.09139752795536</v>
      </c>
      <c r="W27">
        <v>-2.3605095777566198</v>
      </c>
      <c r="X27">
        <v>8.8360503107368995</v>
      </c>
      <c r="Y27">
        <v>8.1935570226166892</v>
      </c>
      <c r="Z27">
        <v>-1.32418212803455</v>
      </c>
      <c r="AA27">
        <v>5.8308532434023403</v>
      </c>
      <c r="AB27">
        <v>5.9888909203085001</v>
      </c>
    </row>
    <row r="28" spans="1:28" x14ac:dyDescent="0.25">
      <c r="A28">
        <v>27</v>
      </c>
      <c r="B28">
        <v>1039</v>
      </c>
      <c r="C28">
        <v>1</v>
      </c>
      <c r="D28">
        <v>1</v>
      </c>
      <c r="E28">
        <v>2.7080813404814401E-3</v>
      </c>
      <c r="F28">
        <v>2.4883883558781799</v>
      </c>
      <c r="G28">
        <v>2.0953821158331301</v>
      </c>
      <c r="H28">
        <v>-0.20401000446853701</v>
      </c>
      <c r="I28">
        <v>3.3078432063474001</v>
      </c>
      <c r="J28">
        <v>2.4144262471351099</v>
      </c>
      <c r="K28">
        <v>-0.40059003397339898</v>
      </c>
      <c r="L28">
        <v>4.2939947923750204</v>
      </c>
      <c r="M28">
        <v>4.3509718978432703</v>
      </c>
      <c r="N28">
        <v>-0.45834418591433101</v>
      </c>
      <c r="O28">
        <v>4.3370209301994196</v>
      </c>
      <c r="P28">
        <v>4.3519955366260596</v>
      </c>
      <c r="Q28">
        <v>2.0588025658023899E-2</v>
      </c>
      <c r="R28">
        <v>3.1825021353400298</v>
      </c>
      <c r="S28">
        <v>3.4290041434559302</v>
      </c>
      <c r="T28">
        <v>-4.2485582091216498</v>
      </c>
      <c r="U28">
        <v>11.6081267686384</v>
      </c>
      <c r="V28">
        <v>8.2612043867729206</v>
      </c>
      <c r="W28">
        <v>-4.27243310478692</v>
      </c>
      <c r="X28">
        <v>11.8162558244811</v>
      </c>
      <c r="Y28">
        <v>8.1304829029770307</v>
      </c>
      <c r="Z28">
        <v>-3.9818567909978699</v>
      </c>
      <c r="AA28">
        <v>10.2474919211359</v>
      </c>
      <c r="AB28">
        <v>4.6041892790903702</v>
      </c>
    </row>
    <row r="29" spans="1:28" x14ac:dyDescent="0.25">
      <c r="A29">
        <v>28</v>
      </c>
      <c r="B29">
        <v>1041</v>
      </c>
      <c r="C29">
        <v>1</v>
      </c>
      <c r="D29">
        <v>1</v>
      </c>
      <c r="E29">
        <v>-0.32339809279693399</v>
      </c>
      <c r="F29">
        <v>1.8738932117806499</v>
      </c>
      <c r="G29">
        <v>3.37547818636448</v>
      </c>
      <c r="H29">
        <v>-0.59750686727998004</v>
      </c>
      <c r="I29">
        <v>2.5425076922406502</v>
      </c>
      <c r="J29">
        <v>3.76822370409195</v>
      </c>
      <c r="K29">
        <v>-0.95832488859922704</v>
      </c>
      <c r="L29">
        <v>4.4301406733974602</v>
      </c>
      <c r="M29">
        <v>6.3213007090906803</v>
      </c>
      <c r="N29">
        <v>-1.07811526108861</v>
      </c>
      <c r="O29">
        <v>4.3390365678282201</v>
      </c>
      <c r="P29">
        <v>6.33069054055336</v>
      </c>
      <c r="Q29">
        <v>-0.85324633780026204</v>
      </c>
      <c r="R29">
        <v>3.3079596264606401</v>
      </c>
      <c r="S29">
        <v>4.40030448353287</v>
      </c>
      <c r="T29">
        <v>-0.44474437404309197</v>
      </c>
      <c r="U29">
        <v>5.2562942574399401</v>
      </c>
      <c r="V29">
        <v>8.2408500812364096</v>
      </c>
      <c r="W29">
        <v>-0.26672399691179</v>
      </c>
      <c r="X29">
        <v>5.0467732267095498</v>
      </c>
      <c r="Y29">
        <v>8.2404607282288698</v>
      </c>
      <c r="Z29">
        <v>-0.235758785315963</v>
      </c>
      <c r="AA29">
        <v>3.7193364837798799</v>
      </c>
      <c r="AB29">
        <v>5.5195086877531496</v>
      </c>
    </row>
    <row r="30" spans="1:28" x14ac:dyDescent="0.25">
      <c r="A30">
        <v>29</v>
      </c>
      <c r="B30">
        <v>1042</v>
      </c>
      <c r="C30">
        <v>1</v>
      </c>
      <c r="D30">
        <v>1</v>
      </c>
      <c r="E30">
        <v>-0.87989432778046694</v>
      </c>
      <c r="F30">
        <v>2.5862085406858899</v>
      </c>
      <c r="G30">
        <v>2.75811949895412</v>
      </c>
      <c r="H30">
        <v>-1.1274126724851501</v>
      </c>
      <c r="I30">
        <v>3.25024840738581</v>
      </c>
      <c r="J30">
        <v>3.0919548490512501</v>
      </c>
      <c r="K30">
        <v>-1.0439271772374501</v>
      </c>
      <c r="L30">
        <v>4.2168173233833199</v>
      </c>
      <c r="M30">
        <v>5.7026940634271899</v>
      </c>
      <c r="N30">
        <v>-1.02574428720777</v>
      </c>
      <c r="O30">
        <v>3.9014025307725602</v>
      </c>
      <c r="P30">
        <v>5.6233838393164604</v>
      </c>
      <c r="Q30">
        <v>-1.7138413385295499</v>
      </c>
      <c r="R30">
        <v>4.7451358862844</v>
      </c>
      <c r="S30">
        <v>3.8461192290185</v>
      </c>
      <c r="T30">
        <v>-4.2879553955639</v>
      </c>
      <c r="U30">
        <v>11.086115617522101</v>
      </c>
      <c r="V30">
        <v>8.0960017889156806</v>
      </c>
      <c r="W30">
        <v>-3.9188333997035998</v>
      </c>
      <c r="X30">
        <v>10.5145843148319</v>
      </c>
      <c r="Y30">
        <v>8.3151858188054693</v>
      </c>
      <c r="Z30">
        <v>-2.83952403893983</v>
      </c>
      <c r="AA30">
        <v>7.3304729999962497</v>
      </c>
      <c r="AB30">
        <v>5.9896102601982903</v>
      </c>
    </row>
    <row r="31" spans="1:28" x14ac:dyDescent="0.25">
      <c r="A31">
        <v>30</v>
      </c>
      <c r="B31">
        <v>1045</v>
      </c>
      <c r="C31">
        <v>1</v>
      </c>
      <c r="D31">
        <v>1</v>
      </c>
      <c r="E31">
        <v>-0.907221589607768</v>
      </c>
      <c r="F31">
        <v>2.4994473813260001</v>
      </c>
      <c r="G31">
        <v>3.2425653215049102</v>
      </c>
      <c r="H31">
        <v>-0.43329775452185099</v>
      </c>
      <c r="I31">
        <v>2.0533290074540602</v>
      </c>
      <c r="J31">
        <v>3.78637933542073</v>
      </c>
      <c r="K31">
        <v>-0.79153311557044104</v>
      </c>
      <c r="L31">
        <v>4.0773047476280198</v>
      </c>
      <c r="M31">
        <v>5.75072957936215</v>
      </c>
      <c r="N31">
        <v>-0.61865829317145005</v>
      </c>
      <c r="O31">
        <v>3.8333384568250501</v>
      </c>
      <c r="P31">
        <v>5.7835365169845501</v>
      </c>
      <c r="Q31">
        <v>-0.85172313692870105</v>
      </c>
      <c r="R31">
        <v>3.32551448822653</v>
      </c>
      <c r="S31">
        <v>4.4136380251377396</v>
      </c>
      <c r="T31">
        <v>-2.6393594993698302</v>
      </c>
      <c r="U31">
        <v>8.5646636885627903</v>
      </c>
      <c r="V31">
        <v>9.53634273226643</v>
      </c>
      <c r="W31">
        <v>-2.7404462135703</v>
      </c>
      <c r="X31">
        <v>8.8053349177972802</v>
      </c>
      <c r="Y31">
        <v>9.4580445214841902</v>
      </c>
      <c r="Z31">
        <v>-2.0522970985552802</v>
      </c>
      <c r="AA31">
        <v>6.2332510224776003</v>
      </c>
      <c r="AB31">
        <v>6.2965992452815698</v>
      </c>
    </row>
    <row r="32" spans="1:28" x14ac:dyDescent="0.25">
      <c r="A32">
        <v>31</v>
      </c>
      <c r="B32">
        <v>1047</v>
      </c>
      <c r="C32">
        <v>1</v>
      </c>
      <c r="D32">
        <v>1</v>
      </c>
      <c r="E32">
        <v>8.5130710308579702E-2</v>
      </c>
      <c r="F32">
        <v>1.26338485470051</v>
      </c>
      <c r="G32">
        <v>2.3300456676738501</v>
      </c>
      <c r="H32">
        <v>-0.622763224471374</v>
      </c>
      <c r="I32">
        <v>2.6057577840379298</v>
      </c>
      <c r="J32">
        <v>2.6187291819945702</v>
      </c>
      <c r="K32">
        <v>0.50108715962916806</v>
      </c>
      <c r="L32">
        <v>1.8535145747569599</v>
      </c>
      <c r="M32">
        <v>4.1322873917423903</v>
      </c>
      <c r="N32">
        <v>0.43019307414576102</v>
      </c>
      <c r="O32">
        <v>1.93873730770394</v>
      </c>
      <c r="P32">
        <v>4.1273887254023096</v>
      </c>
      <c r="Q32">
        <v>0.10546700380689999</v>
      </c>
      <c r="R32">
        <v>2.3796181816913702</v>
      </c>
      <c r="S32">
        <v>3.14547843751139</v>
      </c>
      <c r="T32">
        <v>0.34792073931668199</v>
      </c>
      <c r="U32">
        <v>8.0386183582253601</v>
      </c>
      <c r="V32">
        <v>7.8488633066440103</v>
      </c>
      <c r="W32">
        <v>0.31490259304808899</v>
      </c>
      <c r="X32">
        <v>7.9687757812690103</v>
      </c>
      <c r="Y32">
        <v>7.8655302435913601</v>
      </c>
      <c r="Z32">
        <v>-1.2048965616405101</v>
      </c>
      <c r="AA32">
        <v>7.4571412698507702</v>
      </c>
      <c r="AB32">
        <v>4.7995829388966396</v>
      </c>
    </row>
    <row r="33" spans="1:28" x14ac:dyDescent="0.25">
      <c r="A33">
        <v>32</v>
      </c>
      <c r="B33">
        <v>1048</v>
      </c>
      <c r="C33">
        <v>1</v>
      </c>
      <c r="D33">
        <v>1</v>
      </c>
      <c r="E33">
        <v>-0.82530651916068198</v>
      </c>
      <c r="F33">
        <v>2.1367316388795001</v>
      </c>
      <c r="G33">
        <v>2.7707804850988702</v>
      </c>
      <c r="H33">
        <v>-0.34832717367357202</v>
      </c>
      <c r="I33">
        <v>1.7180610450868199</v>
      </c>
      <c r="J33">
        <v>3.1723220840740201</v>
      </c>
      <c r="K33">
        <v>-0.87502601730776297</v>
      </c>
      <c r="L33">
        <v>3.4050134933230201</v>
      </c>
      <c r="M33">
        <v>4.8366482325552402</v>
      </c>
      <c r="N33">
        <v>-0.76987526524092098</v>
      </c>
      <c r="O33">
        <v>3.3786862359375398</v>
      </c>
      <c r="P33">
        <v>4.6229580359003704</v>
      </c>
      <c r="Q33">
        <v>-0.657516948195071</v>
      </c>
      <c r="R33">
        <v>2.7399303593613902</v>
      </c>
      <c r="S33">
        <v>3.8126264747517098</v>
      </c>
      <c r="T33">
        <v>-3.2249583889972402</v>
      </c>
      <c r="U33">
        <v>8.9719053526277897</v>
      </c>
      <c r="V33">
        <v>8.2772223322377396</v>
      </c>
      <c r="W33">
        <v>-3.01409315273786</v>
      </c>
      <c r="X33">
        <v>8.7275418228115793</v>
      </c>
      <c r="Y33">
        <v>8.3234815015314005</v>
      </c>
      <c r="Z33">
        <v>-2.5527182962892701</v>
      </c>
      <c r="AA33">
        <v>6.2749198558324304</v>
      </c>
      <c r="AB33">
        <v>5.8670451142248901</v>
      </c>
    </row>
    <row r="34" spans="1:28" x14ac:dyDescent="0.25">
      <c r="A34">
        <v>33</v>
      </c>
      <c r="B34">
        <v>2002</v>
      </c>
      <c r="C34">
        <v>2</v>
      </c>
      <c r="D34">
        <v>2</v>
      </c>
      <c r="E34">
        <v>0.112256080998606</v>
      </c>
      <c r="F34">
        <v>2.35957278440031</v>
      </c>
      <c r="G34">
        <v>2.69907925233785</v>
      </c>
      <c r="H34">
        <v>-9.3915023375753498E-2</v>
      </c>
      <c r="I34">
        <v>2.5361567283701101</v>
      </c>
      <c r="J34">
        <v>3.1192612561551698</v>
      </c>
      <c r="K34">
        <v>0.47192608590446999</v>
      </c>
      <c r="L34">
        <v>3.5369534978649999</v>
      </c>
      <c r="M34">
        <v>5.0363877089457398</v>
      </c>
      <c r="N34">
        <v>0.45342413373474499</v>
      </c>
      <c r="O34">
        <v>3.52729691628346</v>
      </c>
      <c r="P34">
        <v>5.0226640571954402</v>
      </c>
      <c r="Q34">
        <v>4.5717401872674701E-2</v>
      </c>
      <c r="R34">
        <v>3.1670693609990601</v>
      </c>
      <c r="S34">
        <v>3.8785736286883101</v>
      </c>
      <c r="T34">
        <v>-0.50437251266465999</v>
      </c>
      <c r="U34">
        <v>5.8748483331807098</v>
      </c>
      <c r="V34">
        <v>9.7833488029717195</v>
      </c>
      <c r="W34">
        <v>-0.69578227302381801</v>
      </c>
      <c r="X34">
        <v>6.05048978709703</v>
      </c>
      <c r="Y34">
        <v>9.7984519824201399</v>
      </c>
      <c r="Z34">
        <v>-1.0513698504173199</v>
      </c>
      <c r="AA34">
        <v>4.8595804997756602</v>
      </c>
      <c r="AB34">
        <v>6.5405966604627102</v>
      </c>
    </row>
    <row r="35" spans="1:28" x14ac:dyDescent="0.25">
      <c r="A35">
        <v>34</v>
      </c>
      <c r="B35">
        <v>2007</v>
      </c>
      <c r="C35">
        <v>2</v>
      </c>
      <c r="D35">
        <v>2</v>
      </c>
      <c r="E35">
        <v>-0.35717481070324097</v>
      </c>
      <c r="F35">
        <v>2.0794034213512602</v>
      </c>
      <c r="G35">
        <v>2.7645549773116298</v>
      </c>
      <c r="H35">
        <v>-1.1877992029747899</v>
      </c>
      <c r="I35">
        <v>3.40375553237552</v>
      </c>
      <c r="J35">
        <v>3.5762687205698298</v>
      </c>
      <c r="K35">
        <v>3.6908904550989699E-3</v>
      </c>
      <c r="L35">
        <v>3.6136309451295499</v>
      </c>
      <c r="M35">
        <v>6.2634822411087301</v>
      </c>
      <c r="N35">
        <v>-0.24941486289596501</v>
      </c>
      <c r="O35">
        <v>3.8697269429725498</v>
      </c>
      <c r="P35">
        <v>6.1728296302864401</v>
      </c>
      <c r="Q35">
        <v>-0.51568344667463795</v>
      </c>
      <c r="R35">
        <v>3.11476850306539</v>
      </c>
      <c r="S35">
        <v>3.80150822069526</v>
      </c>
      <c r="T35">
        <v>-3.56136318725106</v>
      </c>
      <c r="U35">
        <v>9.9830819660427892</v>
      </c>
      <c r="V35">
        <v>8.4560712523165602</v>
      </c>
      <c r="W35">
        <v>-3.7770221329934301</v>
      </c>
      <c r="X35">
        <v>10.245143356277801</v>
      </c>
      <c r="Y35">
        <v>8.4741724681372297</v>
      </c>
      <c r="Z35">
        <v>-2.5958925122349199</v>
      </c>
      <c r="AA35">
        <v>7.2803173537310997</v>
      </c>
      <c r="AB35">
        <v>5.1810136952890096</v>
      </c>
    </row>
    <row r="36" spans="1:28" x14ac:dyDescent="0.25">
      <c r="A36">
        <v>35</v>
      </c>
      <c r="B36">
        <v>2008</v>
      </c>
      <c r="C36">
        <v>2</v>
      </c>
      <c r="D36">
        <v>2</v>
      </c>
      <c r="E36">
        <v>-0.50577996705006001</v>
      </c>
      <c r="F36">
        <v>2.5751053648365798</v>
      </c>
      <c r="G36">
        <v>7.0531036592315903</v>
      </c>
      <c r="H36">
        <v>-0.426467930370723</v>
      </c>
      <c r="I36">
        <v>3.4225139098680701</v>
      </c>
      <c r="J36">
        <v>8.0748056332006009</v>
      </c>
      <c r="K36">
        <v>-0.548770200601015</v>
      </c>
      <c r="L36">
        <v>1.77242460186038</v>
      </c>
      <c r="M36">
        <v>14.0038429490411</v>
      </c>
      <c r="N36">
        <v>-0.67181747244661705</v>
      </c>
      <c r="O36">
        <v>1.9731092769465399</v>
      </c>
      <c r="P36">
        <v>13.9926411522314</v>
      </c>
      <c r="Q36">
        <v>0.14851863970409801</v>
      </c>
      <c r="R36">
        <v>2.03530784118698</v>
      </c>
      <c r="S36">
        <v>8.5142831751486998</v>
      </c>
      <c r="T36">
        <v>-0.46531974653755498</v>
      </c>
      <c r="U36">
        <v>8.6195127920814691</v>
      </c>
      <c r="V36">
        <v>12.637425648022701</v>
      </c>
      <c r="W36">
        <v>-0.62799211958051104</v>
      </c>
      <c r="X36">
        <v>8.9473368118171397</v>
      </c>
      <c r="Y36">
        <v>12.521339390907199</v>
      </c>
      <c r="Z36">
        <v>-0.37726844149833</v>
      </c>
      <c r="AA36">
        <v>6.8361268499336498</v>
      </c>
      <c r="AB36">
        <v>8.7171326122555897</v>
      </c>
    </row>
    <row r="37" spans="1:28" x14ac:dyDescent="0.25">
      <c r="A37">
        <v>36</v>
      </c>
      <c r="B37">
        <v>2013</v>
      </c>
      <c r="C37">
        <v>2</v>
      </c>
      <c r="D37">
        <v>2</v>
      </c>
      <c r="E37">
        <v>-1.0500434158441001</v>
      </c>
      <c r="F37">
        <v>3.3200974900420999</v>
      </c>
      <c r="G37">
        <v>3.9307759431485301</v>
      </c>
      <c r="H37">
        <v>-1.2223284139780299</v>
      </c>
      <c r="I37">
        <v>3.9162713765620598</v>
      </c>
      <c r="J37">
        <v>4.3252009282820998</v>
      </c>
      <c r="K37">
        <v>-1.0259185786231599</v>
      </c>
      <c r="L37">
        <v>5.1578816349912904</v>
      </c>
      <c r="M37">
        <v>6.6133547622705198</v>
      </c>
      <c r="N37">
        <v>-0.92545014247799395</v>
      </c>
      <c r="O37">
        <v>4.9261795172794098</v>
      </c>
      <c r="P37">
        <v>6.6235068995131403</v>
      </c>
      <c r="Q37">
        <v>-1.0127695065959199</v>
      </c>
      <c r="R37">
        <v>3.9882249169223298</v>
      </c>
      <c r="S37">
        <v>5.09401941356119</v>
      </c>
      <c r="T37">
        <v>-2.5612390718829099</v>
      </c>
      <c r="U37">
        <v>10.534004451994999</v>
      </c>
      <c r="V37">
        <v>8.1618258038336595</v>
      </c>
      <c r="W37">
        <v>-2.4595286670540499</v>
      </c>
      <c r="X37">
        <v>10.378641262956901</v>
      </c>
      <c r="Y37">
        <v>8.2084765206173191</v>
      </c>
      <c r="Z37">
        <v>-0.82870430139857099</v>
      </c>
      <c r="AA37">
        <v>4.8318447067771801</v>
      </c>
      <c r="AB37">
        <v>6.3048508480129097</v>
      </c>
    </row>
    <row r="38" spans="1:28" x14ac:dyDescent="0.25">
      <c r="A38">
        <v>37</v>
      </c>
      <c r="B38">
        <v>2015</v>
      </c>
      <c r="C38">
        <v>2</v>
      </c>
      <c r="D38">
        <v>2</v>
      </c>
      <c r="E38">
        <v>-0.655383802442847</v>
      </c>
      <c r="F38">
        <v>1.9464958605481399</v>
      </c>
      <c r="G38">
        <v>7.6158321150841202</v>
      </c>
      <c r="H38">
        <v>-0.47808192940071997</v>
      </c>
      <c r="I38">
        <v>2.2680320836172299</v>
      </c>
      <c r="J38">
        <v>8.3617826906085906</v>
      </c>
      <c r="K38">
        <v>0.48591770231614501</v>
      </c>
      <c r="L38">
        <v>2.4699547040575198</v>
      </c>
      <c r="M38">
        <v>11.049616790479501</v>
      </c>
      <c r="N38">
        <v>0.216845424185654</v>
      </c>
      <c r="O38">
        <v>3.10798332092146</v>
      </c>
      <c r="P38">
        <v>10.6745910162367</v>
      </c>
      <c r="Q38">
        <v>-0.47238168048191498</v>
      </c>
      <c r="R38">
        <v>2.81984538522698</v>
      </c>
      <c r="S38">
        <v>8.7396869316894499</v>
      </c>
      <c r="T38">
        <v>-0.52017206408360395</v>
      </c>
      <c r="U38">
        <v>7.9274002447771501</v>
      </c>
      <c r="V38">
        <v>13.587210524978801</v>
      </c>
      <c r="W38">
        <v>-0.68018030207883895</v>
      </c>
      <c r="X38">
        <v>8.1717260770506499</v>
      </c>
      <c r="Y38">
        <v>13.543354774584399</v>
      </c>
      <c r="Z38">
        <v>-0.99599480393902495</v>
      </c>
      <c r="AA38">
        <v>4.8155927051420404</v>
      </c>
      <c r="AB38">
        <v>9.8767812049481698</v>
      </c>
    </row>
    <row r="39" spans="1:28" x14ac:dyDescent="0.25">
      <c r="A39">
        <v>38</v>
      </c>
      <c r="B39">
        <v>2017</v>
      </c>
      <c r="C39">
        <v>2</v>
      </c>
      <c r="D39">
        <v>2</v>
      </c>
      <c r="E39">
        <v>-1.57004329014371</v>
      </c>
      <c r="F39">
        <v>5.0792819235498499</v>
      </c>
      <c r="G39">
        <v>2.7365462012899</v>
      </c>
      <c r="H39">
        <v>-1.4512485753706701</v>
      </c>
      <c r="I39">
        <v>5.6458028233209303</v>
      </c>
      <c r="J39">
        <v>3.6315616729926901</v>
      </c>
      <c r="K39">
        <v>-1.40236231961383</v>
      </c>
      <c r="L39">
        <v>7.8732053521707899</v>
      </c>
      <c r="M39">
        <v>4.6552132749934998</v>
      </c>
      <c r="N39">
        <v>-1.4558861715471001</v>
      </c>
      <c r="O39">
        <v>7.9391520154422297</v>
      </c>
      <c r="P39">
        <v>4.6425466666272399</v>
      </c>
      <c r="Q39">
        <v>-0.85916847875499502</v>
      </c>
      <c r="R39">
        <v>5.3762895763901897</v>
      </c>
      <c r="S39">
        <v>3.7163090066940501</v>
      </c>
      <c r="T39">
        <v>-0.44695774926271797</v>
      </c>
      <c r="U39">
        <v>6.7969643036695802</v>
      </c>
      <c r="V39">
        <v>12.483088588230901</v>
      </c>
      <c r="W39">
        <v>-0.40399637628624002</v>
      </c>
      <c r="X39">
        <v>6.7038058082409604</v>
      </c>
      <c r="Y39">
        <v>12.521357542017</v>
      </c>
      <c r="Z39">
        <v>-3.38172889356809</v>
      </c>
      <c r="AA39">
        <v>8.2011402404213207</v>
      </c>
      <c r="AB39">
        <v>9.0809733428475603</v>
      </c>
    </row>
    <row r="40" spans="1:28" x14ac:dyDescent="0.25">
      <c r="A40">
        <v>39</v>
      </c>
      <c r="B40">
        <v>2020</v>
      </c>
      <c r="C40">
        <v>2</v>
      </c>
      <c r="D40">
        <v>2</v>
      </c>
      <c r="E40">
        <v>5.94763832154519E-2</v>
      </c>
      <c r="F40">
        <v>0.916758205057846</v>
      </c>
      <c r="G40">
        <v>2.4484556085085001</v>
      </c>
      <c r="H40">
        <v>-0.30637963091690701</v>
      </c>
      <c r="I40">
        <v>2.07341383886506</v>
      </c>
      <c r="J40">
        <v>2.7124365524182501</v>
      </c>
      <c r="K40">
        <v>0.486613559243678</v>
      </c>
      <c r="L40">
        <v>1.7192538617248401</v>
      </c>
      <c r="M40">
        <v>5.1619579775750797</v>
      </c>
      <c r="N40">
        <v>0.46929949378235097</v>
      </c>
      <c r="O40">
        <v>1.6981682332939101</v>
      </c>
      <c r="P40">
        <v>5.17500869993364</v>
      </c>
      <c r="Q40">
        <v>-0.47084170470079101</v>
      </c>
      <c r="R40">
        <v>2.4492920093268302</v>
      </c>
      <c r="S40">
        <v>3.4787016178654202</v>
      </c>
      <c r="T40">
        <v>-2.9591781268439901</v>
      </c>
      <c r="U40">
        <v>8.4902671062103199</v>
      </c>
      <c r="V40">
        <v>9.7292224403974394</v>
      </c>
      <c r="W40">
        <v>-3.066437873061</v>
      </c>
      <c r="X40">
        <v>8.6837730567937701</v>
      </c>
      <c r="Y40">
        <v>9.6818507025666101</v>
      </c>
      <c r="Z40">
        <v>-1.8875679916974799</v>
      </c>
      <c r="AA40">
        <v>5.16052317679382</v>
      </c>
      <c r="AB40">
        <v>6.3667421789113998</v>
      </c>
    </row>
    <row r="41" spans="1:28" x14ac:dyDescent="0.25">
      <c r="A41">
        <v>40</v>
      </c>
      <c r="B41">
        <v>2021</v>
      </c>
      <c r="C41">
        <v>2</v>
      </c>
      <c r="D41">
        <v>2</v>
      </c>
      <c r="E41">
        <v>2.5114910768413101</v>
      </c>
      <c r="F41">
        <v>-3.2571589061519299</v>
      </c>
      <c r="G41">
        <v>3.88947019713483</v>
      </c>
      <c r="H41">
        <v>1.81261461733583</v>
      </c>
      <c r="I41">
        <v>-1.6199220944497601</v>
      </c>
      <c r="J41">
        <v>4.2794832161030998</v>
      </c>
      <c r="K41">
        <v>2.9862032999512</v>
      </c>
      <c r="L41">
        <v>-3.6361261966226599</v>
      </c>
      <c r="M41">
        <v>7.7452827586342501</v>
      </c>
      <c r="N41">
        <v>3.1188181304056002</v>
      </c>
      <c r="O41">
        <v>-3.8320821113544601</v>
      </c>
      <c r="P41">
        <v>7.8021370085251203</v>
      </c>
      <c r="Q41">
        <v>1.9716050714775499</v>
      </c>
      <c r="R41">
        <v>-1.8953737388566401</v>
      </c>
      <c r="S41">
        <v>4.9242354916430902</v>
      </c>
      <c r="T41">
        <v>-0.101042659444268</v>
      </c>
      <c r="U41">
        <v>2.9068468407577899</v>
      </c>
      <c r="V41">
        <v>9.4866824986994196</v>
      </c>
      <c r="W41">
        <v>-9.6217535574913707E-2</v>
      </c>
      <c r="X41">
        <v>2.93076114576247</v>
      </c>
      <c r="Y41">
        <v>9.4320313476712201</v>
      </c>
      <c r="Z41">
        <v>0.27073286760881399</v>
      </c>
      <c r="AA41">
        <v>2.1881664157465099</v>
      </c>
      <c r="AB41">
        <v>5.9186942842409396</v>
      </c>
    </row>
    <row r="42" spans="1:28" x14ac:dyDescent="0.25">
      <c r="A42">
        <v>41</v>
      </c>
      <c r="B42">
        <v>2022</v>
      </c>
      <c r="C42">
        <v>2</v>
      </c>
      <c r="D42">
        <v>2</v>
      </c>
      <c r="E42">
        <v>1.58193568143538</v>
      </c>
      <c r="F42">
        <v>-1.69289300559617</v>
      </c>
      <c r="G42">
        <v>2.5617201394276399</v>
      </c>
      <c r="H42">
        <v>0.89320587262056605</v>
      </c>
      <c r="I42">
        <v>-0.32459697966859102</v>
      </c>
      <c r="J42">
        <v>3.2544937925603601</v>
      </c>
      <c r="K42">
        <v>2.2069990837708802</v>
      </c>
      <c r="L42">
        <v>-1.29984084710841</v>
      </c>
      <c r="M42">
        <v>6.76598926719823</v>
      </c>
      <c r="N42">
        <v>2.16934758851058</v>
      </c>
      <c r="O42">
        <v>-1.23369852606495</v>
      </c>
      <c r="P42">
        <v>6.7492175397288801</v>
      </c>
      <c r="Q42">
        <v>1.53540829850631</v>
      </c>
      <c r="R42">
        <v>-1.3629834590544101</v>
      </c>
      <c r="S42">
        <v>3.9090763275219298</v>
      </c>
      <c r="T42">
        <v>-0.63641735568668201</v>
      </c>
      <c r="U42">
        <v>5.8205459276645799</v>
      </c>
      <c r="V42">
        <v>8.4540911438372</v>
      </c>
      <c r="W42">
        <v>-0.62774548520489304</v>
      </c>
      <c r="X42">
        <v>5.7590611087630901</v>
      </c>
      <c r="Y42">
        <v>8.4979160267766201</v>
      </c>
      <c r="Z42">
        <v>-0.25166375320432799</v>
      </c>
      <c r="AA42">
        <v>3.3085998048629102</v>
      </c>
      <c r="AB42">
        <v>6.4386108872546703</v>
      </c>
    </row>
    <row r="43" spans="1:28" x14ac:dyDescent="0.25">
      <c r="A43">
        <v>42</v>
      </c>
      <c r="B43">
        <v>2023</v>
      </c>
      <c r="C43">
        <v>2</v>
      </c>
      <c r="D43">
        <v>2</v>
      </c>
      <c r="E43">
        <v>0.24904944863048001</v>
      </c>
      <c r="F43">
        <v>-0.41737049594505099</v>
      </c>
      <c r="G43">
        <v>3.72471482023643</v>
      </c>
      <c r="H43">
        <v>0.373739095965959</v>
      </c>
      <c r="I43">
        <v>-0.22613379386847701</v>
      </c>
      <c r="J43">
        <v>4.6755630477547303</v>
      </c>
      <c r="K43">
        <v>0.39814053925881498</v>
      </c>
      <c r="L43">
        <v>0.71862406251585398</v>
      </c>
      <c r="M43">
        <v>6.5613030535998202</v>
      </c>
      <c r="N43">
        <v>0.55834491108615403</v>
      </c>
      <c r="O43">
        <v>0.43005985146410203</v>
      </c>
      <c r="P43">
        <v>6.5124235688536301</v>
      </c>
      <c r="Q43">
        <v>-0.14642110056062799</v>
      </c>
      <c r="R43">
        <v>0.91075838883433502</v>
      </c>
      <c r="S43">
        <v>4.6611568007227699</v>
      </c>
      <c r="T43">
        <v>-2.6999607353041699</v>
      </c>
      <c r="U43">
        <v>7.0374846195138598</v>
      </c>
      <c r="V43">
        <v>10.8690477293878</v>
      </c>
      <c r="W43">
        <v>-2.8671328524293398</v>
      </c>
      <c r="X43">
        <v>7.2912468592240502</v>
      </c>
      <c r="Y43">
        <v>10.822082213512299</v>
      </c>
      <c r="Z43">
        <v>-1.29185975214238</v>
      </c>
      <c r="AA43">
        <v>3.27443188001845</v>
      </c>
      <c r="AB43">
        <v>8.3414597506999204</v>
      </c>
    </row>
    <row r="44" spans="1:28" x14ac:dyDescent="0.25">
      <c r="A44">
        <v>43</v>
      </c>
      <c r="B44">
        <v>2025</v>
      </c>
      <c r="C44">
        <v>2</v>
      </c>
      <c r="D44">
        <v>2</v>
      </c>
      <c r="E44">
        <v>2.4485103289577101</v>
      </c>
      <c r="F44">
        <v>-0.18744353310925799</v>
      </c>
      <c r="G44">
        <v>5.52787479884267</v>
      </c>
      <c r="H44">
        <v>2.1043091701506098</v>
      </c>
      <c r="I44">
        <v>1.10054048694884</v>
      </c>
      <c r="J44">
        <v>6.4667845904834103</v>
      </c>
      <c r="K44">
        <v>0.66546075083408396</v>
      </c>
      <c r="L44">
        <v>2.90249353098302</v>
      </c>
      <c r="M44">
        <v>9.1670297370499192</v>
      </c>
      <c r="N44">
        <v>0.71768149990069297</v>
      </c>
      <c r="O44">
        <v>2.85194906669861</v>
      </c>
      <c r="P44">
        <v>9.1710861644899406</v>
      </c>
      <c r="Q44">
        <v>1.9974353540642</v>
      </c>
      <c r="R44">
        <v>0.73508292693331101</v>
      </c>
      <c r="S44">
        <v>6.7342102575285203</v>
      </c>
      <c r="T44">
        <v>-0.34419517306151198</v>
      </c>
      <c r="U44">
        <v>6.7733297753688904</v>
      </c>
      <c r="V44">
        <v>13.378480545416901</v>
      </c>
      <c r="W44">
        <v>-0.43142425481749003</v>
      </c>
      <c r="X44">
        <v>6.8659524735271296</v>
      </c>
      <c r="Y44">
        <v>13.3612008250025</v>
      </c>
      <c r="Z44">
        <v>0.78947270090900801</v>
      </c>
      <c r="AA44">
        <v>4.0936083245342596</v>
      </c>
      <c r="AB44">
        <v>9.0566791036792704</v>
      </c>
    </row>
    <row r="45" spans="1:28" x14ac:dyDescent="0.25">
      <c r="A45">
        <v>44</v>
      </c>
      <c r="B45">
        <v>2026</v>
      </c>
      <c r="C45">
        <v>2</v>
      </c>
      <c r="D45">
        <v>2</v>
      </c>
      <c r="E45">
        <v>-3.3397211507279101</v>
      </c>
      <c r="F45">
        <v>6.7338620966463401</v>
      </c>
      <c r="G45">
        <v>3.6784981286343399</v>
      </c>
      <c r="H45">
        <v>-2.8536697167937199</v>
      </c>
      <c r="I45">
        <v>5.9927378820248398</v>
      </c>
      <c r="J45">
        <v>4.7794927615234002</v>
      </c>
      <c r="K45">
        <v>-1.7232709609988099</v>
      </c>
      <c r="L45">
        <v>4.3881530084764897</v>
      </c>
      <c r="M45">
        <v>8.0846740474815508</v>
      </c>
      <c r="N45">
        <v>-1.7686686842932899</v>
      </c>
      <c r="O45">
        <v>4.4153439981501101</v>
      </c>
      <c r="P45">
        <v>8.0471620979450798</v>
      </c>
      <c r="Q45">
        <v>-2.9235486008538998</v>
      </c>
      <c r="R45">
        <v>6.7502994940271597</v>
      </c>
      <c r="S45">
        <v>4.7142154844630797</v>
      </c>
      <c r="T45">
        <v>-2.8046202007630199</v>
      </c>
      <c r="U45">
        <v>9.3833416063840396</v>
      </c>
      <c r="V45">
        <v>9.5060882362679706</v>
      </c>
      <c r="W45">
        <v>-2.6925121174781399</v>
      </c>
      <c r="X45">
        <v>9.2358681129356395</v>
      </c>
      <c r="Y45">
        <v>9.5016692545550399</v>
      </c>
      <c r="Z45">
        <v>-2.6773812140114801</v>
      </c>
      <c r="AA45">
        <v>7.3641171749824998</v>
      </c>
      <c r="AB45">
        <v>6.7373340681490603</v>
      </c>
    </row>
    <row r="46" spans="1:28" x14ac:dyDescent="0.25">
      <c r="A46">
        <v>45</v>
      </c>
      <c r="B46">
        <v>2027</v>
      </c>
      <c r="C46">
        <v>2</v>
      </c>
      <c r="D46">
        <v>2</v>
      </c>
      <c r="E46">
        <v>0.15385993062490599</v>
      </c>
      <c r="F46">
        <v>1.2452385652026601</v>
      </c>
      <c r="G46">
        <v>3.36327927593147</v>
      </c>
      <c r="H46">
        <v>-0.289144608035524</v>
      </c>
      <c r="I46">
        <v>2.20727891656467</v>
      </c>
      <c r="J46">
        <v>3.8345903504706098</v>
      </c>
      <c r="K46">
        <v>-0.35930722434201801</v>
      </c>
      <c r="L46">
        <v>3.53901924435378</v>
      </c>
      <c r="M46">
        <v>6.0396831088157201</v>
      </c>
      <c r="N46">
        <v>-0.15741157529462299</v>
      </c>
      <c r="O46">
        <v>3.1204752166448202</v>
      </c>
      <c r="P46">
        <v>6.0852025392639204</v>
      </c>
      <c r="Q46">
        <v>-0.15246629336063899</v>
      </c>
      <c r="R46">
        <v>2.3730223112709998</v>
      </c>
      <c r="S46">
        <v>4.5941852720906002</v>
      </c>
      <c r="T46">
        <v>-0.10006532915140399</v>
      </c>
      <c r="U46">
        <v>5.8292799270797104</v>
      </c>
      <c r="V46">
        <v>8.6883967148952905</v>
      </c>
      <c r="W46">
        <v>-4.60159762499028E-2</v>
      </c>
      <c r="X46">
        <v>5.7640714683608598</v>
      </c>
      <c r="Y46">
        <v>8.7018974943831608</v>
      </c>
      <c r="Z46">
        <v>-1.5724633075907699</v>
      </c>
      <c r="AA46">
        <v>5.8551700258051103</v>
      </c>
      <c r="AB46">
        <v>5.5873047633452702</v>
      </c>
    </row>
    <row r="47" spans="1:28" x14ac:dyDescent="0.25">
      <c r="A47">
        <v>46</v>
      </c>
      <c r="B47">
        <v>2033</v>
      </c>
      <c r="C47">
        <v>2</v>
      </c>
      <c r="D47">
        <v>2</v>
      </c>
      <c r="E47">
        <v>4.9888994848154997E-2</v>
      </c>
      <c r="F47">
        <v>2.2487844500207501</v>
      </c>
      <c r="G47">
        <v>3.5301110986389901</v>
      </c>
      <c r="H47">
        <v>-0.61657961600967004</v>
      </c>
      <c r="I47">
        <v>3.0056681588281999</v>
      </c>
      <c r="J47">
        <v>3.7433906404164201</v>
      </c>
      <c r="K47">
        <v>-0.21356858066288401</v>
      </c>
      <c r="L47">
        <v>4.2995497567383403</v>
      </c>
      <c r="M47">
        <v>5.9952711846722302</v>
      </c>
      <c r="N47">
        <v>-0.43056006552142301</v>
      </c>
      <c r="O47">
        <v>4.25858692901053</v>
      </c>
      <c r="P47">
        <v>5.9136465850022697</v>
      </c>
      <c r="Q47">
        <v>-0.30812156951152297</v>
      </c>
      <c r="R47">
        <v>3.8333114565878899</v>
      </c>
      <c r="S47">
        <v>4.4413721479442598</v>
      </c>
      <c r="T47">
        <v>-1.2929142839693999</v>
      </c>
      <c r="U47">
        <v>6.7545095622233502</v>
      </c>
      <c r="V47">
        <v>9.8633794105157904</v>
      </c>
      <c r="W47">
        <v>-1.5103291725211101</v>
      </c>
      <c r="X47">
        <v>7.09165360614106</v>
      </c>
      <c r="Y47">
        <v>9.9212757554422595</v>
      </c>
      <c r="Z47">
        <v>-1.27431717752493</v>
      </c>
      <c r="AA47">
        <v>5.0614601960148002</v>
      </c>
      <c r="AB47">
        <v>7.2925044911256203</v>
      </c>
    </row>
    <row r="48" spans="1:28" x14ac:dyDescent="0.25">
      <c r="A48">
        <v>47</v>
      </c>
      <c r="B48">
        <v>2034</v>
      </c>
      <c r="C48">
        <v>2</v>
      </c>
      <c r="D48">
        <v>2</v>
      </c>
      <c r="E48">
        <v>0.94391057334416295</v>
      </c>
      <c r="F48">
        <v>-0.55486317531471296</v>
      </c>
      <c r="G48">
        <v>4.4240928020938801</v>
      </c>
      <c r="H48">
        <v>1.2043709744503599</v>
      </c>
      <c r="I48">
        <v>-0.24020386351539999</v>
      </c>
      <c r="J48">
        <v>5.16405722563265</v>
      </c>
      <c r="K48">
        <v>-0.77202072829936697</v>
      </c>
      <c r="L48">
        <v>3.9777370372307002</v>
      </c>
      <c r="M48">
        <v>6.2060118204294801</v>
      </c>
      <c r="N48">
        <v>-0.75397554174418502</v>
      </c>
      <c r="O48">
        <v>3.9598054557357298</v>
      </c>
      <c r="P48">
        <v>6.2078421586552501</v>
      </c>
      <c r="Q48">
        <v>0.25835051908277001</v>
      </c>
      <c r="R48">
        <v>1.1563381727411599</v>
      </c>
      <c r="S48">
        <v>5.6210051316816996</v>
      </c>
      <c r="T48">
        <v>-0.98201773081350496</v>
      </c>
      <c r="U48">
        <v>6.7489415278228302</v>
      </c>
      <c r="V48">
        <v>11.019255289071999</v>
      </c>
      <c r="W48">
        <v>-0.97601572145887405</v>
      </c>
      <c r="X48">
        <v>6.7443055744690099</v>
      </c>
      <c r="Y48">
        <v>10.990609667961101</v>
      </c>
      <c r="Z48">
        <v>0.50764867355416998</v>
      </c>
      <c r="AA48">
        <v>2.5934464583946899</v>
      </c>
      <c r="AB48">
        <v>7.6759705273648802</v>
      </c>
    </row>
    <row r="49" spans="1:28" x14ac:dyDescent="0.25">
      <c r="A49">
        <v>48</v>
      </c>
      <c r="B49">
        <v>2037</v>
      </c>
      <c r="C49">
        <v>2</v>
      </c>
      <c r="D49">
        <v>2</v>
      </c>
      <c r="E49">
        <v>1.2026454005623599</v>
      </c>
      <c r="F49">
        <v>-7.5440022469906207E-2</v>
      </c>
      <c r="G49">
        <v>3.3067038165367202</v>
      </c>
      <c r="H49">
        <v>1.77842112306754</v>
      </c>
      <c r="I49">
        <v>-0.73397643068969798</v>
      </c>
      <c r="J49">
        <v>4.03422928549237</v>
      </c>
      <c r="K49">
        <v>1.0716596467988999</v>
      </c>
      <c r="L49">
        <v>0.73712442706798698</v>
      </c>
      <c r="M49">
        <v>6.2590664937251299</v>
      </c>
      <c r="N49">
        <v>0.85982127142591602</v>
      </c>
      <c r="O49">
        <v>0.95203422402410298</v>
      </c>
      <c r="P49">
        <v>6.3019006106309297</v>
      </c>
      <c r="Q49">
        <v>0.97460517066972896</v>
      </c>
      <c r="R49">
        <v>0.89348694533755801</v>
      </c>
      <c r="S49">
        <v>4.4966213841006297</v>
      </c>
      <c r="T49">
        <v>-2.5311917835740299</v>
      </c>
      <c r="U49">
        <v>7.6522467999439003</v>
      </c>
      <c r="V49">
        <v>9.4226549087038602</v>
      </c>
      <c r="W49">
        <v>-2.5996070590838301</v>
      </c>
      <c r="X49">
        <v>7.7272204659899302</v>
      </c>
      <c r="Y49">
        <v>9.4370694435515894</v>
      </c>
      <c r="Z49">
        <v>-6.4511912460668203E-2</v>
      </c>
      <c r="AA49">
        <v>2.6936315584439501</v>
      </c>
      <c r="AB49">
        <v>6.69199975515515</v>
      </c>
    </row>
    <row r="50" spans="1:28" x14ac:dyDescent="0.25">
      <c r="A50">
        <v>49</v>
      </c>
      <c r="B50">
        <v>2038</v>
      </c>
      <c r="C50">
        <v>2</v>
      </c>
      <c r="D50">
        <v>2</v>
      </c>
      <c r="E50">
        <v>-0.198450580632301</v>
      </c>
      <c r="F50">
        <v>0.83146823934255698</v>
      </c>
      <c r="G50">
        <v>3.4472421972120699</v>
      </c>
      <c r="H50">
        <v>-0.55792056280868796</v>
      </c>
      <c r="I50">
        <v>1.6528937510643</v>
      </c>
      <c r="J50">
        <v>4.0474131613528597</v>
      </c>
      <c r="K50">
        <v>1.01143581790779</v>
      </c>
      <c r="L50">
        <v>0.54440073720780102</v>
      </c>
      <c r="M50">
        <v>6.3665507019388299</v>
      </c>
      <c r="N50">
        <v>0.90362891600002404</v>
      </c>
      <c r="O50">
        <v>0.56696745640022295</v>
      </c>
      <c r="P50">
        <v>6.3745572767026699</v>
      </c>
      <c r="Q50">
        <v>0.116945462176897</v>
      </c>
      <c r="R50">
        <v>1.05475357149196</v>
      </c>
      <c r="S50">
        <v>4.4349283068949701</v>
      </c>
      <c r="T50">
        <v>-0.29766744120469502</v>
      </c>
      <c r="U50">
        <v>3.9070495099674898</v>
      </c>
      <c r="V50">
        <v>9.5548460183756205</v>
      </c>
      <c r="W50">
        <v>-0.36305826576019301</v>
      </c>
      <c r="X50">
        <v>3.9844184604771802</v>
      </c>
      <c r="Y50">
        <v>9.5714742357439899</v>
      </c>
      <c r="Z50">
        <v>-0.89278866827681203</v>
      </c>
      <c r="AA50">
        <v>3.8767031045123401</v>
      </c>
      <c r="AB50">
        <v>6.2605160506372197</v>
      </c>
    </row>
    <row r="51" spans="1:28" x14ac:dyDescent="0.25">
      <c r="A51">
        <v>50</v>
      </c>
      <c r="B51">
        <v>2039</v>
      </c>
      <c r="C51">
        <v>2</v>
      </c>
      <c r="D51">
        <v>2</v>
      </c>
      <c r="E51">
        <v>1.6893367793837399</v>
      </c>
      <c r="F51">
        <v>0.64126039223839004</v>
      </c>
      <c r="G51">
        <v>4.4001004089404701</v>
      </c>
      <c r="H51">
        <v>1.14082507602707</v>
      </c>
      <c r="I51">
        <v>2.5046242225831699</v>
      </c>
      <c r="J51">
        <v>4.8753515357224702</v>
      </c>
      <c r="K51">
        <v>1.2108228235615699</v>
      </c>
      <c r="L51">
        <v>2.9993113651758998</v>
      </c>
      <c r="M51">
        <v>7.6641573800991099</v>
      </c>
      <c r="N51">
        <v>1.2947647597509999</v>
      </c>
      <c r="O51">
        <v>2.8269231808834898</v>
      </c>
      <c r="P51">
        <v>7.6416029962918897</v>
      </c>
      <c r="Q51">
        <v>0.59834652888628204</v>
      </c>
      <c r="R51">
        <v>3.24066912352166</v>
      </c>
      <c r="S51">
        <v>5.3855624224057399</v>
      </c>
      <c r="T51">
        <v>-3.8166102540614602</v>
      </c>
      <c r="U51">
        <v>13.2886096408279</v>
      </c>
      <c r="V51">
        <v>9.57483271099799</v>
      </c>
      <c r="W51">
        <v>-3.9463879565396098</v>
      </c>
      <c r="X51">
        <v>13.4951433239812</v>
      </c>
      <c r="Y51">
        <v>9.5619908775353295</v>
      </c>
      <c r="Z51">
        <v>-1.21574359301697</v>
      </c>
      <c r="AA51">
        <v>7.2376825905195297</v>
      </c>
      <c r="AB51">
        <v>6.70581478941188</v>
      </c>
    </row>
    <row r="52" spans="1:28" x14ac:dyDescent="0.25">
      <c r="A52">
        <v>51</v>
      </c>
      <c r="B52">
        <v>2042</v>
      </c>
      <c r="C52">
        <v>2</v>
      </c>
      <c r="D52">
        <v>2</v>
      </c>
      <c r="E52">
        <v>-2.1666596863682002E-3</v>
      </c>
      <c r="F52">
        <v>1.5020030267362301</v>
      </c>
      <c r="G52">
        <v>2.09736638292167</v>
      </c>
      <c r="H52">
        <v>-5.3179744013923599E-2</v>
      </c>
      <c r="I52">
        <v>1.7439052711282801</v>
      </c>
      <c r="J52">
        <v>2.5550664232537601</v>
      </c>
      <c r="K52">
        <v>-0.41863753177361301</v>
      </c>
      <c r="L52">
        <v>3.81472222080285</v>
      </c>
      <c r="M52">
        <v>4.1764441269014796</v>
      </c>
      <c r="N52">
        <v>-0.457332758233299</v>
      </c>
      <c r="O52">
        <v>3.8345542482604702</v>
      </c>
      <c r="P52">
        <v>4.1752570058902396</v>
      </c>
      <c r="Q52">
        <v>-0.40747318417291101</v>
      </c>
      <c r="R52">
        <v>3.2317449504953202</v>
      </c>
      <c r="S52">
        <v>3.1460477436543899</v>
      </c>
      <c r="T52">
        <v>-1.91329425962633</v>
      </c>
      <c r="U52">
        <v>9.6169036588750298</v>
      </c>
      <c r="V52">
        <v>8.7052153248123805</v>
      </c>
      <c r="W52">
        <v>-1.5842560693768799</v>
      </c>
      <c r="X52">
        <v>9.0802400444011599</v>
      </c>
      <c r="Y52">
        <v>8.7286566538628101</v>
      </c>
      <c r="Z52">
        <v>-1.26924973901378</v>
      </c>
      <c r="AA52">
        <v>6.3369778934507099</v>
      </c>
      <c r="AB52">
        <v>5.7793799335093103</v>
      </c>
    </row>
    <row r="53" spans="1:28" x14ac:dyDescent="0.25">
      <c r="A53">
        <v>52</v>
      </c>
      <c r="B53">
        <v>2052</v>
      </c>
      <c r="C53">
        <v>2</v>
      </c>
      <c r="D53">
        <v>2</v>
      </c>
      <c r="E53">
        <v>1.4307681565057999</v>
      </c>
      <c r="F53">
        <v>0.92012978680041302</v>
      </c>
      <c r="G53">
        <v>3.2671971744549202</v>
      </c>
      <c r="H53">
        <v>1.31566343052787</v>
      </c>
      <c r="I53">
        <v>1.3664943733314701</v>
      </c>
      <c r="J53">
        <v>3.78438116714868</v>
      </c>
      <c r="K53">
        <v>0.34803875173395499</v>
      </c>
      <c r="L53">
        <v>4.6811351826426204</v>
      </c>
      <c r="M53">
        <v>5.5259318663666104</v>
      </c>
      <c r="N53">
        <v>0.39362250812944699</v>
      </c>
      <c r="O53">
        <v>4.5816504535790399</v>
      </c>
      <c r="P53">
        <v>5.5116246334722296</v>
      </c>
      <c r="Q53">
        <v>0.81313415828842395</v>
      </c>
      <c r="R53">
        <v>2.79494254013149</v>
      </c>
      <c r="S53">
        <v>4.3617813354441601</v>
      </c>
      <c r="T53">
        <v>-3.77672931427391</v>
      </c>
      <c r="U53">
        <v>11.187453849934</v>
      </c>
      <c r="V53">
        <v>10.174032646758</v>
      </c>
      <c r="W53">
        <v>-3.8376233750621398</v>
      </c>
      <c r="X53">
        <v>11.2979546826529</v>
      </c>
      <c r="Y53">
        <v>10.1700617127272</v>
      </c>
      <c r="Z53">
        <v>-1.72948938987848</v>
      </c>
      <c r="AA53">
        <v>6.7933360445692399</v>
      </c>
      <c r="AB53">
        <v>6.80622326924217</v>
      </c>
    </row>
    <row r="54" spans="1:28" x14ac:dyDescent="0.25">
      <c r="A54">
        <v>53</v>
      </c>
      <c r="B54">
        <v>2059</v>
      </c>
      <c r="C54">
        <v>2</v>
      </c>
      <c r="D54">
        <v>2</v>
      </c>
      <c r="E54">
        <v>-0.68207294623821502</v>
      </c>
      <c r="F54">
        <v>1.60836338531576</v>
      </c>
      <c r="G54">
        <v>3.5819247913906298</v>
      </c>
      <c r="H54">
        <v>-7.3309350564633294E-2</v>
      </c>
      <c r="I54">
        <v>1.0487446213966001</v>
      </c>
      <c r="J54">
        <v>4.7876697299084698</v>
      </c>
      <c r="K54">
        <v>-0.56361399798790401</v>
      </c>
      <c r="L54">
        <v>3.3178295569969101</v>
      </c>
      <c r="M54">
        <v>8.3409673209217505</v>
      </c>
      <c r="N54">
        <v>-0.50609465436909895</v>
      </c>
      <c r="O54">
        <v>3.1144110875282398</v>
      </c>
      <c r="P54">
        <v>8.4486226841569998</v>
      </c>
      <c r="Q54">
        <v>-0.33910886389552403</v>
      </c>
      <c r="R54">
        <v>1.89297648909342</v>
      </c>
      <c r="S54">
        <v>4.4101335899301004</v>
      </c>
      <c r="T54">
        <v>1.2766911028772301</v>
      </c>
      <c r="U54">
        <v>2.7048565639269602</v>
      </c>
      <c r="V54">
        <v>8.8089284052395005</v>
      </c>
      <c r="W54">
        <v>1.09420469043362</v>
      </c>
      <c r="X54">
        <v>2.9281427924366401</v>
      </c>
      <c r="Y54">
        <v>8.7746435561523093</v>
      </c>
      <c r="Z54">
        <v>-0.97331789033662597</v>
      </c>
      <c r="AA54">
        <v>3.6367359047486199</v>
      </c>
      <c r="AB54">
        <v>5.8538219090821002</v>
      </c>
    </row>
    <row r="55" spans="1:28" x14ac:dyDescent="0.25">
      <c r="A55">
        <v>54</v>
      </c>
      <c r="B55">
        <v>2062</v>
      </c>
      <c r="C55">
        <v>2</v>
      </c>
      <c r="D55">
        <v>2</v>
      </c>
      <c r="E55">
        <v>-0.27342802810570699</v>
      </c>
      <c r="F55">
        <v>0.63260580539984701</v>
      </c>
      <c r="G55">
        <v>6.4288443293694799</v>
      </c>
      <c r="H55">
        <v>-1.1174268250241099</v>
      </c>
      <c r="I55">
        <v>2.9093607973754798</v>
      </c>
      <c r="J55">
        <v>7.5253244163134498</v>
      </c>
      <c r="K55">
        <v>0.88449164625825705</v>
      </c>
      <c r="L55">
        <v>0.63090396695413498</v>
      </c>
      <c r="M55">
        <v>11.4106372213438</v>
      </c>
      <c r="N55">
        <v>0.78115002542860801</v>
      </c>
      <c r="O55">
        <v>0.89589498261887801</v>
      </c>
      <c r="P55">
        <v>11.1277223259299</v>
      </c>
      <c r="Q55">
        <v>-0.32170827755470899</v>
      </c>
      <c r="R55">
        <v>1.7389449316376</v>
      </c>
      <c r="S55">
        <v>8.0938267004935707</v>
      </c>
      <c r="T55">
        <v>-3.1343897493833799</v>
      </c>
      <c r="U55">
        <v>9.4444973742120197</v>
      </c>
      <c r="V55">
        <v>14.234378737607599</v>
      </c>
      <c r="W55">
        <v>-2.93507415269268</v>
      </c>
      <c r="X55">
        <v>9.3546955967761001</v>
      </c>
      <c r="Y55">
        <v>14.2845651162765</v>
      </c>
      <c r="Z55">
        <v>-1.2593883693282699</v>
      </c>
      <c r="AA55">
        <v>4.7333344246255704</v>
      </c>
      <c r="AB55">
        <v>10.298283663906901</v>
      </c>
    </row>
    <row r="56" spans="1:28" x14ac:dyDescent="0.25">
      <c r="A56">
        <v>55</v>
      </c>
      <c r="B56">
        <v>2082</v>
      </c>
      <c r="C56">
        <v>2</v>
      </c>
      <c r="D56">
        <v>2</v>
      </c>
      <c r="E56">
        <v>-2.1506581409903598</v>
      </c>
      <c r="F56">
        <v>4.8134478146037099</v>
      </c>
      <c r="G56">
        <v>10.243170910057099</v>
      </c>
      <c r="H56">
        <v>-2.0322400183818101</v>
      </c>
      <c r="I56">
        <v>5.6739213227343299</v>
      </c>
      <c r="J56">
        <v>10.638839104551099</v>
      </c>
      <c r="K56">
        <v>-3.15063722047491</v>
      </c>
      <c r="L56">
        <v>6.87800119750443</v>
      </c>
      <c r="M56">
        <v>14.578092361578699</v>
      </c>
      <c r="N56">
        <v>-3.0933089924436898</v>
      </c>
      <c r="O56">
        <v>6.9411734923820703</v>
      </c>
      <c r="P56">
        <v>14.5489332234015</v>
      </c>
      <c r="Q56">
        <v>-2.31824133281475</v>
      </c>
      <c r="R56">
        <v>5.4745382703916201</v>
      </c>
      <c r="S56">
        <v>11.5325683087824</v>
      </c>
      <c r="T56">
        <v>-2.1108449415158601</v>
      </c>
      <c r="U56">
        <v>8.3303220245200702</v>
      </c>
      <c r="V56">
        <v>16.453119982799901</v>
      </c>
      <c r="W56">
        <v>-1.56274395568589</v>
      </c>
      <c r="X56">
        <v>7.6923353152056997</v>
      </c>
      <c r="Y56">
        <v>16.429456209655399</v>
      </c>
      <c r="Z56">
        <v>-0.69539455766505998</v>
      </c>
      <c r="AA56">
        <v>4.7113119236538301</v>
      </c>
      <c r="AB56">
        <v>12.7577496199271</v>
      </c>
    </row>
    <row r="57" spans="1:28" x14ac:dyDescent="0.25">
      <c r="A57">
        <v>56</v>
      </c>
      <c r="B57">
        <v>2090</v>
      </c>
      <c r="C57">
        <v>2</v>
      </c>
      <c r="D57">
        <v>2</v>
      </c>
      <c r="E57">
        <v>4.5710862762735198</v>
      </c>
      <c r="F57">
        <v>1.8612117363930401</v>
      </c>
      <c r="G57">
        <v>6.5549241742227604</v>
      </c>
      <c r="H57">
        <v>4.3879117245736898</v>
      </c>
      <c r="I57">
        <v>4.1214648765368596</v>
      </c>
      <c r="J57">
        <v>7.5582104952586402</v>
      </c>
      <c r="K57">
        <v>4.0811998734186501</v>
      </c>
      <c r="L57">
        <v>-0.63131894484964302</v>
      </c>
      <c r="M57">
        <v>11.308790168805</v>
      </c>
      <c r="N57">
        <v>3.4808473137945199</v>
      </c>
      <c r="O57">
        <v>5.0054552214740297E-2</v>
      </c>
      <c r="P57">
        <v>11.204675139175899</v>
      </c>
      <c r="Q57">
        <v>5.2511922142067</v>
      </c>
      <c r="R57">
        <v>2.8678362900080199</v>
      </c>
      <c r="S57">
        <v>7.5345515794095599</v>
      </c>
      <c r="T57">
        <v>9.3595598605960308</v>
      </c>
      <c r="U57">
        <v>5.46224762730641</v>
      </c>
      <c r="V57">
        <v>11.492604631240701</v>
      </c>
      <c r="W57">
        <v>9.2633721886788596</v>
      </c>
      <c r="X57">
        <v>5.7205721003859802</v>
      </c>
      <c r="Y57">
        <v>11.3506263039649</v>
      </c>
      <c r="Z57">
        <v>4.51277361056089</v>
      </c>
      <c r="AA57">
        <v>9.31465447898149</v>
      </c>
      <c r="AB57">
        <v>8.8508443453264203</v>
      </c>
    </row>
    <row r="58" spans="1:28" x14ac:dyDescent="0.25">
      <c r="A58">
        <v>57</v>
      </c>
      <c r="B58">
        <v>2095</v>
      </c>
      <c r="C58">
        <v>2</v>
      </c>
      <c r="D58">
        <v>2</v>
      </c>
      <c r="E58">
        <v>2.2235493985911501</v>
      </c>
      <c r="F58">
        <v>-4.5084524526635201</v>
      </c>
      <c r="G58">
        <v>12.7573802489475</v>
      </c>
      <c r="H58">
        <v>2.95661583781281</v>
      </c>
      <c r="I58">
        <v>-5.3378056652948702</v>
      </c>
      <c r="J58">
        <v>14.156658621512699</v>
      </c>
      <c r="K58">
        <v>-4.8374150205403299E-4</v>
      </c>
      <c r="L58">
        <v>1.39374649580347</v>
      </c>
      <c r="M58">
        <v>11.519464728568799</v>
      </c>
      <c r="N58">
        <v>-0.141291781771198</v>
      </c>
      <c r="O58">
        <v>1.5677385174740299</v>
      </c>
      <c r="P58">
        <v>11.475798133238399</v>
      </c>
      <c r="Q58">
        <v>1.2764064852266701</v>
      </c>
      <c r="R58">
        <v>-2.2519595516552999</v>
      </c>
      <c r="S58">
        <v>12.963420313178201</v>
      </c>
      <c r="T58">
        <v>3.8091502764701</v>
      </c>
      <c r="U58">
        <v>-4.3318774112427398</v>
      </c>
      <c r="V58">
        <v>19.814620743841299</v>
      </c>
      <c r="W58">
        <v>3.5435621118536802</v>
      </c>
      <c r="X58">
        <v>-4.0413869243406104</v>
      </c>
      <c r="Y58">
        <v>19.8537960526516</v>
      </c>
      <c r="Z58">
        <v>3.2073706829604798</v>
      </c>
      <c r="AA58">
        <v>-5.9477214648695202</v>
      </c>
      <c r="AB58">
        <v>18.153457992459199</v>
      </c>
    </row>
    <row r="59" spans="1:28" x14ac:dyDescent="0.25">
      <c r="A59">
        <v>58</v>
      </c>
      <c r="B59">
        <v>2111</v>
      </c>
      <c r="C59">
        <v>2</v>
      </c>
      <c r="D59">
        <v>2</v>
      </c>
      <c r="E59">
        <v>-3.8798387394157698</v>
      </c>
      <c r="F59">
        <v>7.5160699900548202</v>
      </c>
      <c r="G59">
        <v>7.7950161936758402</v>
      </c>
      <c r="H59">
        <v>-4.0844889776918096</v>
      </c>
      <c r="I59">
        <v>8.6776519187901098</v>
      </c>
      <c r="J59">
        <v>8.9118387699439108</v>
      </c>
      <c r="K59">
        <v>-3.6350223649678202</v>
      </c>
      <c r="L59">
        <v>9.0299908308717907</v>
      </c>
      <c r="M59">
        <v>12.406437376139699</v>
      </c>
      <c r="N59">
        <v>-3.5238959030827801</v>
      </c>
      <c r="O59">
        <v>8.7733984473942197</v>
      </c>
      <c r="P59">
        <v>12.4675278283952</v>
      </c>
      <c r="Q59">
        <v>-2.8643440953337298</v>
      </c>
      <c r="R59">
        <v>8.2064784738554408</v>
      </c>
      <c r="S59">
        <v>9.5064527864362205</v>
      </c>
      <c r="T59">
        <v>-1.4933069084497299</v>
      </c>
      <c r="U59">
        <v>11.0446187994068</v>
      </c>
      <c r="V59">
        <v>14.9565776881798</v>
      </c>
      <c r="W59">
        <v>-1.29446412970291</v>
      </c>
      <c r="X59">
        <v>10.8287759849796</v>
      </c>
      <c r="Y59">
        <v>14.863228114426001</v>
      </c>
      <c r="Z59">
        <v>-2.1752494144641101</v>
      </c>
      <c r="AA59">
        <v>7.0297540170893402</v>
      </c>
      <c r="AB59">
        <v>13.0501128260203</v>
      </c>
    </row>
    <row r="60" spans="1:28" x14ac:dyDescent="0.25">
      <c r="A60">
        <v>59</v>
      </c>
      <c r="B60">
        <v>2117</v>
      </c>
      <c r="C60">
        <v>2</v>
      </c>
      <c r="D60">
        <v>2</v>
      </c>
      <c r="E60">
        <v>-0.14752530799177099</v>
      </c>
      <c r="F60">
        <v>1.0795733440958999</v>
      </c>
      <c r="G60">
        <v>4.0136541550026701</v>
      </c>
      <c r="H60">
        <v>0.56561794142822996</v>
      </c>
      <c r="I60">
        <v>0.34978579803028798</v>
      </c>
      <c r="J60">
        <v>5.1993290075294398</v>
      </c>
      <c r="K60">
        <v>0.19727403265880999</v>
      </c>
      <c r="L60">
        <v>1.92482483013441</v>
      </c>
      <c r="M60">
        <v>7.5464558709470202</v>
      </c>
      <c r="N60">
        <v>8.8406509335733994E-3</v>
      </c>
      <c r="O60">
        <v>2.3433065804994402</v>
      </c>
      <c r="P60">
        <v>7.3223519604673202</v>
      </c>
      <c r="Q60">
        <v>-0.30334373784031599</v>
      </c>
      <c r="R60">
        <v>2.01650040320312</v>
      </c>
      <c r="S60">
        <v>5.0699462470599999</v>
      </c>
      <c r="T60">
        <v>0.60027051348879101</v>
      </c>
      <c r="U60">
        <v>3.5076025641642401</v>
      </c>
      <c r="V60">
        <v>10.8526229426369</v>
      </c>
      <c r="W60">
        <v>0.50596867448791405</v>
      </c>
      <c r="X60">
        <v>3.6397283976881298</v>
      </c>
      <c r="Y60">
        <v>10.8541704588537</v>
      </c>
      <c r="Z60">
        <v>1.20402262602999</v>
      </c>
      <c r="AA60">
        <v>0.89898498233013602</v>
      </c>
      <c r="AB60">
        <v>8.0852991204533602</v>
      </c>
    </row>
    <row r="61" spans="1:28" x14ac:dyDescent="0.25">
      <c r="A61">
        <v>60</v>
      </c>
      <c r="B61">
        <v>3029</v>
      </c>
      <c r="C61">
        <v>3</v>
      </c>
      <c r="D61">
        <v>2</v>
      </c>
      <c r="E61">
        <v>4.7703167793922798</v>
      </c>
      <c r="F61">
        <v>-1.3304942966398301</v>
      </c>
      <c r="G61">
        <v>5.1175433381291402</v>
      </c>
      <c r="H61">
        <v>4.7656559181139704</v>
      </c>
      <c r="I61">
        <v>0.102939342572738</v>
      </c>
      <c r="J61">
        <v>6.1563700666062804</v>
      </c>
      <c r="K61">
        <v>2.1752258668548099</v>
      </c>
      <c r="L61">
        <v>2.9826543883924099</v>
      </c>
      <c r="M61">
        <v>9.1819522162296003</v>
      </c>
      <c r="N61">
        <v>2.18015566953351</v>
      </c>
      <c r="O61">
        <v>3.0889536511129401</v>
      </c>
      <c r="P61">
        <v>9.0482407731644603</v>
      </c>
      <c r="Q61">
        <v>4.8486686995400499</v>
      </c>
      <c r="R61">
        <v>-0.488120934399289</v>
      </c>
      <c r="S61">
        <v>6.9023043060848304</v>
      </c>
      <c r="T61">
        <v>2.3982264718573298</v>
      </c>
      <c r="U61">
        <v>8.2004530762908399</v>
      </c>
      <c r="V61">
        <v>12.542004223136299</v>
      </c>
      <c r="W61">
        <v>3.1678088629549102</v>
      </c>
      <c r="X61">
        <v>7.2663707723200801</v>
      </c>
      <c r="Y61">
        <v>12.6925910066933</v>
      </c>
      <c r="Z61">
        <v>3.0065707824602299</v>
      </c>
      <c r="AA61">
        <v>4.3464950915477596</v>
      </c>
      <c r="AB61">
        <v>9.4132696332667205</v>
      </c>
    </row>
    <row r="62" spans="1:28" x14ac:dyDescent="0.25">
      <c r="A62">
        <v>61</v>
      </c>
      <c r="B62">
        <v>3034</v>
      </c>
      <c r="C62">
        <v>3</v>
      </c>
      <c r="D62">
        <v>2</v>
      </c>
      <c r="E62">
        <v>-1.7469114546989899</v>
      </c>
      <c r="F62">
        <v>4.4497631632104504</v>
      </c>
      <c r="G62">
        <v>7.5600630230676096</v>
      </c>
      <c r="H62">
        <v>-1.41257744477716</v>
      </c>
      <c r="I62">
        <v>4.6806950783479504</v>
      </c>
      <c r="J62">
        <v>8.8567352915015203</v>
      </c>
      <c r="K62">
        <v>-2.1000913763309801</v>
      </c>
      <c r="L62">
        <v>6.3829156993374898</v>
      </c>
      <c r="M62">
        <v>11.1585101879029</v>
      </c>
      <c r="N62">
        <v>-2.0098264648203101</v>
      </c>
      <c r="O62">
        <v>6.2602210163360503</v>
      </c>
      <c r="P62">
        <v>11.122962011914799</v>
      </c>
      <c r="Q62">
        <v>-2.1251749695585298</v>
      </c>
      <c r="R62">
        <v>5.9517594029999703</v>
      </c>
      <c r="S62">
        <v>8.9121630596958497</v>
      </c>
      <c r="T62">
        <v>-0.88436465797956199</v>
      </c>
      <c r="U62">
        <v>6.7092644529408103</v>
      </c>
      <c r="V62">
        <v>16.398126607453001</v>
      </c>
      <c r="W62">
        <v>-1.0115138406484701</v>
      </c>
      <c r="X62">
        <v>6.8862269539854504</v>
      </c>
      <c r="Y62">
        <v>16.346292349261201</v>
      </c>
      <c r="Z62">
        <v>-8.1065287571291306E-2</v>
      </c>
      <c r="AA62">
        <v>4.4390734175151803</v>
      </c>
      <c r="AB62">
        <v>11.280941657667301</v>
      </c>
    </row>
    <row r="63" spans="1:28" x14ac:dyDescent="0.25">
      <c r="A63">
        <v>62</v>
      </c>
      <c r="B63">
        <v>3039</v>
      </c>
      <c r="C63">
        <v>3</v>
      </c>
      <c r="D63">
        <v>2</v>
      </c>
      <c r="E63">
        <v>-1.94303735965513</v>
      </c>
      <c r="F63">
        <v>4.2023634964893599</v>
      </c>
      <c r="G63">
        <v>4.9996698458572197</v>
      </c>
      <c r="H63">
        <v>-2.2664376203365899</v>
      </c>
      <c r="I63">
        <v>5.2298553978224103</v>
      </c>
      <c r="J63">
        <v>5.5539716346528296</v>
      </c>
      <c r="K63">
        <v>-1.1274684347027799</v>
      </c>
      <c r="L63">
        <v>4.88431529714991</v>
      </c>
      <c r="M63">
        <v>8.4448382794026404</v>
      </c>
      <c r="N63">
        <v>-1.2512591228238199</v>
      </c>
      <c r="O63">
        <v>4.9862051049677296</v>
      </c>
      <c r="P63">
        <v>8.4472734132251794</v>
      </c>
      <c r="Q63">
        <v>-2.5704591247021402</v>
      </c>
      <c r="R63">
        <v>5.66024414620931</v>
      </c>
      <c r="S63">
        <v>5.8683506018282401</v>
      </c>
      <c r="T63">
        <v>-2.0309301251230298</v>
      </c>
      <c r="U63">
        <v>7.5814109292564904</v>
      </c>
      <c r="V63">
        <v>8.9991821468116608</v>
      </c>
      <c r="W63">
        <v>-1.93743928085729</v>
      </c>
      <c r="X63">
        <v>7.4868119299340599</v>
      </c>
      <c r="Y63">
        <v>9.0282261505243895</v>
      </c>
      <c r="Z63">
        <v>-3.2604886753412101</v>
      </c>
      <c r="AA63">
        <v>8.0968615713768592</v>
      </c>
      <c r="AB63">
        <v>6.3761336087736797</v>
      </c>
    </row>
    <row r="64" spans="1:28" x14ac:dyDescent="0.25">
      <c r="A64">
        <v>63</v>
      </c>
      <c r="B64">
        <v>3053</v>
      </c>
      <c r="C64">
        <v>3</v>
      </c>
      <c r="D64">
        <v>2</v>
      </c>
      <c r="E64">
        <v>2.2631976046621101</v>
      </c>
      <c r="F64">
        <v>-1.37359974514434</v>
      </c>
      <c r="G64">
        <v>5.0036383790059</v>
      </c>
      <c r="H64">
        <v>1.8563533125073901</v>
      </c>
      <c r="I64">
        <v>-0.38911406006346899</v>
      </c>
      <c r="J64">
        <v>5.8103564986045599</v>
      </c>
      <c r="K64">
        <v>-1.4804101627434301</v>
      </c>
      <c r="L64">
        <v>6.1782771738990299</v>
      </c>
      <c r="M64">
        <v>9.07748352346497</v>
      </c>
      <c r="N64">
        <v>-1.1037852185124</v>
      </c>
      <c r="O64">
        <v>5.60317416117232</v>
      </c>
      <c r="P64">
        <v>9.1302701066756704</v>
      </c>
      <c r="Q64">
        <v>1.32896136438308</v>
      </c>
      <c r="R64">
        <v>1.03053765703613</v>
      </c>
      <c r="S64">
        <v>6.19057847094225</v>
      </c>
      <c r="T64">
        <v>1.3046943323406399</v>
      </c>
      <c r="U64">
        <v>4.2351022101653903</v>
      </c>
      <c r="V64">
        <v>9.2312790747290308</v>
      </c>
      <c r="W64">
        <v>1.05802342785279</v>
      </c>
      <c r="X64">
        <v>4.3612351552878401</v>
      </c>
      <c r="Y64">
        <v>9.3293140303423403</v>
      </c>
      <c r="Z64">
        <v>1.0411392841642</v>
      </c>
      <c r="AA64">
        <v>1.6997302452787899</v>
      </c>
      <c r="AB64">
        <v>7.2661203112796198</v>
      </c>
    </row>
    <row r="65" spans="1:28" x14ac:dyDescent="0.25">
      <c r="A65">
        <v>64</v>
      </c>
      <c r="B65">
        <v>3063</v>
      </c>
      <c r="C65">
        <v>3</v>
      </c>
      <c r="D65">
        <v>2</v>
      </c>
      <c r="E65">
        <v>2.3643905189386598</v>
      </c>
      <c r="F65">
        <v>-1.83154944596207</v>
      </c>
      <c r="G65">
        <v>7.0160485039917999</v>
      </c>
      <c r="H65">
        <v>1.8457177632108299</v>
      </c>
      <c r="I65">
        <v>-0.58477909864858901</v>
      </c>
      <c r="J65">
        <v>8.0420222598968305</v>
      </c>
      <c r="K65">
        <v>0.71806518626647098</v>
      </c>
      <c r="L65">
        <v>1.48148822848914</v>
      </c>
      <c r="M65">
        <v>9.8870361724918805</v>
      </c>
      <c r="N65">
        <v>0.40296403139055598</v>
      </c>
      <c r="O65">
        <v>2.2726707226617902</v>
      </c>
      <c r="P65">
        <v>9.4709698035612409</v>
      </c>
      <c r="Q65">
        <v>2.34560056521393</v>
      </c>
      <c r="R65">
        <v>-0.90760941379571103</v>
      </c>
      <c r="S65">
        <v>10.5602638234443</v>
      </c>
      <c r="T65">
        <v>0.43040140261499699</v>
      </c>
      <c r="U65">
        <v>4.6582338101815903</v>
      </c>
      <c r="V65">
        <v>14.8370528501246</v>
      </c>
      <c r="W65">
        <v>0.90286956041028099</v>
      </c>
      <c r="X65">
        <v>3.70531567273922</v>
      </c>
      <c r="Y65">
        <v>15.300759157566601</v>
      </c>
      <c r="Z65">
        <v>2.6443844125212199</v>
      </c>
      <c r="AA65">
        <v>-0.85124934712994005</v>
      </c>
      <c r="AB65">
        <v>10.2619724706933</v>
      </c>
    </row>
    <row r="66" spans="1:28" x14ac:dyDescent="0.25">
      <c r="A66">
        <v>65</v>
      </c>
      <c r="B66">
        <v>3072</v>
      </c>
      <c r="C66">
        <v>3</v>
      </c>
      <c r="D66">
        <v>2</v>
      </c>
      <c r="E66">
        <v>-6.4297483447663399</v>
      </c>
      <c r="F66">
        <v>13.0925464043235</v>
      </c>
      <c r="G66">
        <v>6.2413061634911102</v>
      </c>
      <c r="H66">
        <v>-7.7515557948935099</v>
      </c>
      <c r="I66">
        <v>16.442322357195099</v>
      </c>
      <c r="J66">
        <v>7.6789260054256303</v>
      </c>
      <c r="K66">
        <v>-3.1578908143104401</v>
      </c>
      <c r="L66">
        <v>6.9000533469763496</v>
      </c>
      <c r="M66">
        <v>12.880408559116299</v>
      </c>
      <c r="N66">
        <v>-3.4173116665130401</v>
      </c>
      <c r="O66">
        <v>7.4772220874750301</v>
      </c>
      <c r="P66">
        <v>12.649251341116599</v>
      </c>
      <c r="Q66">
        <v>-8.6567588227884595</v>
      </c>
      <c r="R66">
        <v>18.581825624598299</v>
      </c>
      <c r="S66">
        <v>7.7864609850829298</v>
      </c>
      <c r="T66">
        <v>-13.538249229189899</v>
      </c>
      <c r="U66">
        <v>31.1479100843586</v>
      </c>
      <c r="V66">
        <v>12.791709773705399</v>
      </c>
      <c r="W66">
        <v>-12.961205387525199</v>
      </c>
      <c r="X66">
        <v>30.243859826638602</v>
      </c>
      <c r="Y66">
        <v>12.818651666441299</v>
      </c>
      <c r="Z66">
        <v>-10.1973562341211</v>
      </c>
      <c r="AA66">
        <v>21.198177781144601</v>
      </c>
      <c r="AB66">
        <v>9.9553179137372307</v>
      </c>
    </row>
    <row r="67" spans="1:28" x14ac:dyDescent="0.25">
      <c r="A67">
        <v>66</v>
      </c>
      <c r="B67">
        <v>3077</v>
      </c>
      <c r="C67">
        <v>3</v>
      </c>
      <c r="D67">
        <v>2</v>
      </c>
      <c r="E67">
        <v>1.74911262923208</v>
      </c>
      <c r="F67">
        <v>-0.30739956864322499</v>
      </c>
      <c r="G67">
        <v>8.4643041778238395</v>
      </c>
      <c r="H67">
        <v>1.7200479721044799</v>
      </c>
      <c r="I67">
        <v>-0.16028745007753101</v>
      </c>
      <c r="J67">
        <v>9.9262138266473698</v>
      </c>
      <c r="K67">
        <v>1.24103563275151</v>
      </c>
      <c r="L67">
        <v>3.1519741262791601</v>
      </c>
      <c r="M67">
        <v>13.396790770668201</v>
      </c>
      <c r="N67">
        <v>0.62135739131463996</v>
      </c>
      <c r="O67">
        <v>3.9082571456134199</v>
      </c>
      <c r="P67">
        <v>13.290472615669399</v>
      </c>
      <c r="Q67">
        <v>2.5808692037609</v>
      </c>
      <c r="R67">
        <v>-0.33298599114215499</v>
      </c>
      <c r="S67">
        <v>9.8527444780476596</v>
      </c>
      <c r="T67">
        <v>2.4399313864896999</v>
      </c>
      <c r="U67">
        <v>0.80923217203438402</v>
      </c>
      <c r="V67">
        <v>15.607299505930801</v>
      </c>
      <c r="W67">
        <v>2.93956144358576</v>
      </c>
      <c r="X67">
        <v>0.191585627679217</v>
      </c>
      <c r="Y67">
        <v>15.5167773415805</v>
      </c>
      <c r="Z67">
        <v>2.4165921975131202</v>
      </c>
      <c r="AA67">
        <v>-1.3500477448542201</v>
      </c>
      <c r="AB67">
        <v>12.7556911179904</v>
      </c>
    </row>
    <row r="68" spans="1:28" x14ac:dyDescent="0.25">
      <c r="A68">
        <v>67</v>
      </c>
      <c r="B68">
        <v>3103</v>
      </c>
      <c r="C68">
        <v>3</v>
      </c>
      <c r="D68">
        <v>2</v>
      </c>
      <c r="E68">
        <v>2.95818426743205</v>
      </c>
      <c r="F68">
        <v>-2.9622401992440102</v>
      </c>
      <c r="G68">
        <v>5.5727788388815904</v>
      </c>
      <c r="H68">
        <v>2.7557672145472001</v>
      </c>
      <c r="I68">
        <v>-1.9980169784922599</v>
      </c>
      <c r="J68">
        <v>6.4254307081330797</v>
      </c>
      <c r="K68">
        <v>3.1051350674032601</v>
      </c>
      <c r="L68">
        <v>-1.2114197159889999</v>
      </c>
      <c r="M68">
        <v>10.2463951171639</v>
      </c>
      <c r="N68">
        <v>3.08685940432943</v>
      </c>
      <c r="O68">
        <v>-1.21155014650863</v>
      </c>
      <c r="P68">
        <v>10.2469454507691</v>
      </c>
      <c r="Q68">
        <v>2.30107476463782</v>
      </c>
      <c r="R68">
        <v>-0.97995162223339904</v>
      </c>
      <c r="S68">
        <v>6.44631732924978</v>
      </c>
      <c r="T68">
        <v>1.66388268309196</v>
      </c>
      <c r="U68">
        <v>3.37768627586301</v>
      </c>
      <c r="V68">
        <v>10.1367238346715</v>
      </c>
      <c r="W68">
        <v>1.4859633164255299</v>
      </c>
      <c r="X68">
        <v>3.6804252562965099</v>
      </c>
      <c r="Y68">
        <v>10.148741533408501</v>
      </c>
      <c r="Z68">
        <v>2.3809920400565199</v>
      </c>
      <c r="AA68">
        <v>0.71212709668530905</v>
      </c>
      <c r="AB68">
        <v>7.7694651435288398</v>
      </c>
    </row>
    <row r="69" spans="1:28" x14ac:dyDescent="0.25">
      <c r="A69">
        <v>68</v>
      </c>
      <c r="B69">
        <v>3107</v>
      </c>
      <c r="C69">
        <v>3</v>
      </c>
      <c r="D69">
        <v>2</v>
      </c>
      <c r="E69">
        <v>4.5999129068272699</v>
      </c>
      <c r="F69">
        <v>5.9548046759920203E-2</v>
      </c>
      <c r="G69">
        <v>3.1025179798155902</v>
      </c>
      <c r="H69">
        <v>5.5847510515728098</v>
      </c>
      <c r="I69">
        <v>-0.290944256855589</v>
      </c>
      <c r="J69">
        <v>4.2996574924834201</v>
      </c>
      <c r="K69">
        <v>-1.2908853198232999</v>
      </c>
      <c r="L69">
        <v>8.8667566655017005</v>
      </c>
      <c r="M69">
        <v>7.2690489516113201</v>
      </c>
      <c r="N69">
        <v>-1.1632833394607101</v>
      </c>
      <c r="O69">
        <v>8.7046740292765392</v>
      </c>
      <c r="P69">
        <v>7.2962550396249704</v>
      </c>
      <c r="Q69">
        <v>6.2187049314847096</v>
      </c>
      <c r="R69">
        <v>-1.00214297262271</v>
      </c>
      <c r="S69">
        <v>4.8880104577440502</v>
      </c>
      <c r="T69">
        <v>5.3982246361071802</v>
      </c>
      <c r="U69">
        <v>4.0583574299551399</v>
      </c>
      <c r="V69">
        <v>9.7437804324548907</v>
      </c>
      <c r="W69">
        <v>5.7492389412819902</v>
      </c>
      <c r="X69">
        <v>3.7132049781029202</v>
      </c>
      <c r="Y69">
        <v>9.7679131552932397</v>
      </c>
      <c r="Z69">
        <v>4.8603407010175204</v>
      </c>
      <c r="AA69">
        <v>2.2520558419171701</v>
      </c>
      <c r="AB69">
        <v>6.6576846462450199</v>
      </c>
    </row>
    <row r="70" spans="1:28" x14ac:dyDescent="0.25">
      <c r="A70">
        <v>69</v>
      </c>
      <c r="B70">
        <v>3006</v>
      </c>
      <c r="C70">
        <v>3</v>
      </c>
      <c r="D70">
        <v>2</v>
      </c>
      <c r="E70">
        <v>4.5485245125854101</v>
      </c>
      <c r="F70">
        <v>-3.31355659169306</v>
      </c>
      <c r="G70">
        <v>6.2196703029007097</v>
      </c>
      <c r="H70">
        <v>4.6397224469919403</v>
      </c>
      <c r="I70">
        <v>-2.47774474165757</v>
      </c>
      <c r="J70">
        <v>7.1448178981434598</v>
      </c>
      <c r="K70">
        <v>1.8199954084816301</v>
      </c>
      <c r="L70">
        <v>3.3588286816487498</v>
      </c>
      <c r="M70">
        <v>11.3148417557498</v>
      </c>
      <c r="N70">
        <v>2.1587175666763501</v>
      </c>
      <c r="O70">
        <v>2.93054661310055</v>
      </c>
      <c r="P70">
        <v>11.316192740235</v>
      </c>
      <c r="Q70">
        <v>5.1674221559667997</v>
      </c>
      <c r="R70">
        <v>-1.2356350354293</v>
      </c>
      <c r="S70">
        <v>7.25390163768237</v>
      </c>
      <c r="T70">
        <v>6.8212734738510798</v>
      </c>
      <c r="U70">
        <v>-0.44485890502964598</v>
      </c>
      <c r="V70">
        <v>12.516948183851801</v>
      </c>
      <c r="W70">
        <v>6.9871244853336503</v>
      </c>
      <c r="X70">
        <v>-0.65284432085258204</v>
      </c>
      <c r="Y70">
        <v>12.5651613022474</v>
      </c>
      <c r="Z70">
        <v>6.8712306841581396</v>
      </c>
      <c r="AA70">
        <v>-4.8187188068371603</v>
      </c>
      <c r="AB70">
        <v>10.360234081563499</v>
      </c>
    </row>
    <row r="71" spans="1:28" x14ac:dyDescent="0.25">
      <c r="A71">
        <v>70</v>
      </c>
      <c r="B71">
        <v>3007</v>
      </c>
      <c r="C71">
        <v>3</v>
      </c>
      <c r="D71">
        <v>2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  <c r="S71" t="s">
        <v>20</v>
      </c>
      <c r="T71" t="s">
        <v>20</v>
      </c>
      <c r="U71" t="s">
        <v>20</v>
      </c>
      <c r="V71" t="s">
        <v>20</v>
      </c>
      <c r="W71" t="s">
        <v>20</v>
      </c>
      <c r="X71" t="s">
        <v>20</v>
      </c>
      <c r="Y71" t="s">
        <v>20</v>
      </c>
      <c r="Z71" t="s">
        <v>20</v>
      </c>
      <c r="AA71" t="s">
        <v>20</v>
      </c>
      <c r="AB71" t="s">
        <v>20</v>
      </c>
    </row>
    <row r="72" spans="1:28" x14ac:dyDescent="0.25">
      <c r="A72">
        <v>71</v>
      </c>
      <c r="B72">
        <v>3008</v>
      </c>
      <c r="C72">
        <v>3</v>
      </c>
      <c r="D72">
        <v>2</v>
      </c>
      <c r="E72">
        <v>1.3361358331369599</v>
      </c>
      <c r="F72">
        <v>0.77013688152762105</v>
      </c>
      <c r="G72">
        <v>3.5866541570129198</v>
      </c>
      <c r="H72">
        <v>0.80910081122607302</v>
      </c>
      <c r="I72">
        <v>1.35472932338938</v>
      </c>
      <c r="J72">
        <v>4.7505733379066104</v>
      </c>
      <c r="K72">
        <v>1.45043005663547</v>
      </c>
      <c r="L72">
        <v>1.95144203364115</v>
      </c>
      <c r="M72">
        <v>6.6449340411893001</v>
      </c>
      <c r="N72">
        <v>1.53524774768911</v>
      </c>
      <c r="O72">
        <v>1.8420046944019699</v>
      </c>
      <c r="P72">
        <v>6.6621798563545802</v>
      </c>
      <c r="Q72">
        <v>0.87718369618093195</v>
      </c>
      <c r="R72">
        <v>1.8678561153619699</v>
      </c>
      <c r="S72">
        <v>4.7999862550027004</v>
      </c>
      <c r="T72">
        <v>-2.0773660559634202</v>
      </c>
      <c r="U72">
        <v>9.3234608369331902</v>
      </c>
      <c r="V72">
        <v>8.7541603780654</v>
      </c>
      <c r="W72">
        <v>-2.18444529086835</v>
      </c>
      <c r="X72">
        <v>9.5178973617568001</v>
      </c>
      <c r="Y72">
        <v>8.7175901549092103</v>
      </c>
      <c r="Z72">
        <v>-0.77482867293824698</v>
      </c>
      <c r="AA72">
        <v>5.16155777401897</v>
      </c>
      <c r="AB72">
        <v>6.8310713374247802</v>
      </c>
    </row>
    <row r="73" spans="1:28" x14ac:dyDescent="0.25">
      <c r="A73">
        <v>72</v>
      </c>
      <c r="B73">
        <v>3010</v>
      </c>
      <c r="C73">
        <v>3</v>
      </c>
      <c r="D73">
        <v>2</v>
      </c>
      <c r="E73">
        <v>4.7278876892308901</v>
      </c>
      <c r="F73">
        <v>-4.2474576745996</v>
      </c>
      <c r="G73">
        <v>7.3242112489370399</v>
      </c>
      <c r="H73">
        <v>4.2153638803387299</v>
      </c>
      <c r="I73">
        <v>-2.8496980001484</v>
      </c>
      <c r="J73">
        <v>8.0863892891027707</v>
      </c>
      <c r="K73">
        <v>2.4683889158653698</v>
      </c>
      <c r="L73">
        <v>1.68686230384208</v>
      </c>
      <c r="M73">
        <v>11.734894607736599</v>
      </c>
      <c r="N73">
        <v>2.6994197168922698</v>
      </c>
      <c r="O73">
        <v>1.31476123872427</v>
      </c>
      <c r="P73">
        <v>11.826891055505</v>
      </c>
      <c r="Q73">
        <v>3.3606059945621598</v>
      </c>
      <c r="R73">
        <v>-1.18976948597483</v>
      </c>
      <c r="S73">
        <v>8.2372518985691592</v>
      </c>
      <c r="T73">
        <v>5.6536032192322901E-2</v>
      </c>
      <c r="U73">
        <v>7.1880222544735402</v>
      </c>
      <c r="V73">
        <v>11.9017317553803</v>
      </c>
      <c r="W73">
        <v>0.151850056320425</v>
      </c>
      <c r="X73">
        <v>7.0361599082492399</v>
      </c>
      <c r="Y73">
        <v>11.958616763442</v>
      </c>
      <c r="Z73">
        <v>1.9212758258218401</v>
      </c>
      <c r="AA73">
        <v>1.6639561351342</v>
      </c>
      <c r="AB73">
        <v>10.0729824441911</v>
      </c>
    </row>
    <row r="74" spans="1:28" x14ac:dyDescent="0.25">
      <c r="A74">
        <v>73</v>
      </c>
      <c r="B74">
        <v>3021</v>
      </c>
      <c r="C74">
        <v>3</v>
      </c>
      <c r="D74">
        <v>2</v>
      </c>
      <c r="E74">
        <v>-0.43932455719434299</v>
      </c>
      <c r="F74">
        <v>4.1298551449089702</v>
      </c>
      <c r="G74">
        <v>6.89533618438952</v>
      </c>
      <c r="H74">
        <v>-0.61981500697546399</v>
      </c>
      <c r="I74">
        <v>4.9349616950514896</v>
      </c>
      <c r="J74">
        <v>8.4005694052978903</v>
      </c>
      <c r="K74">
        <v>-0.75812995934535898</v>
      </c>
      <c r="L74">
        <v>6.3003096591442604</v>
      </c>
      <c r="M74">
        <v>13.189864176</v>
      </c>
      <c r="N74">
        <v>-0.79047502174789896</v>
      </c>
      <c r="O74">
        <v>6.2197687626768401</v>
      </c>
      <c r="P74">
        <v>13.2120006465586</v>
      </c>
      <c r="Q74">
        <v>-0.78190341535978303</v>
      </c>
      <c r="R74">
        <v>5.3075575074977701</v>
      </c>
      <c r="S74">
        <v>8.9354450558292999</v>
      </c>
      <c r="T74">
        <v>-1.7116290348268901</v>
      </c>
      <c r="U74">
        <v>9.4674462795173309</v>
      </c>
      <c r="V74">
        <v>15.2130470841229</v>
      </c>
      <c r="W74">
        <v>-1.8266900001019</v>
      </c>
      <c r="X74">
        <v>9.5399675160772794</v>
      </c>
      <c r="Y74">
        <v>15.267784375136801</v>
      </c>
      <c r="Z74">
        <v>-1.37915380670914</v>
      </c>
      <c r="AA74">
        <v>6.8996901685807801</v>
      </c>
      <c r="AB74">
        <v>11.1104423698588</v>
      </c>
    </row>
    <row r="75" spans="1:28" x14ac:dyDescent="0.25">
      <c r="A75">
        <v>74</v>
      </c>
      <c r="B75">
        <v>3026</v>
      </c>
      <c r="C75">
        <v>3</v>
      </c>
      <c r="D75">
        <v>2</v>
      </c>
      <c r="E75">
        <v>1.6672863856425699</v>
      </c>
      <c r="F75">
        <v>2.897598674877</v>
      </c>
      <c r="G75">
        <v>7.1662537101444599</v>
      </c>
      <c r="H75">
        <v>1.89466021943195</v>
      </c>
      <c r="I75">
        <v>3.2124066050531601</v>
      </c>
      <c r="J75">
        <v>8.3323407180886608</v>
      </c>
      <c r="K75">
        <v>1.8408351978998201</v>
      </c>
      <c r="L75">
        <v>3.4059903952478101</v>
      </c>
      <c r="M75">
        <v>12.2222337387702</v>
      </c>
      <c r="N75">
        <v>1.5408208273722299</v>
      </c>
      <c r="O75">
        <v>3.71153872693501</v>
      </c>
      <c r="P75">
        <v>12.1874316232916</v>
      </c>
      <c r="Q75">
        <v>2.1521267105770501</v>
      </c>
      <c r="R75">
        <v>3.64846741482223</v>
      </c>
      <c r="S75">
        <v>9.4048903760113198</v>
      </c>
      <c r="T75">
        <v>2.0087499750690698</v>
      </c>
      <c r="U75">
        <v>6.2633574890320602</v>
      </c>
      <c r="V75">
        <v>15.058066999255701</v>
      </c>
      <c r="W75">
        <v>0.91887886825087395</v>
      </c>
      <c r="X75">
        <v>7.4457317874203204</v>
      </c>
      <c r="Y75">
        <v>14.994819959300401</v>
      </c>
      <c r="Z75">
        <v>2.25184209112629</v>
      </c>
      <c r="AA75">
        <v>3.3098194134594898</v>
      </c>
      <c r="AB75">
        <v>10.152051698389</v>
      </c>
    </row>
    <row r="76" spans="1:28" x14ac:dyDescent="0.25">
      <c r="A76">
        <v>75</v>
      </c>
      <c r="B76">
        <v>3030</v>
      </c>
      <c r="C76">
        <v>3</v>
      </c>
      <c r="D76">
        <v>2</v>
      </c>
      <c r="E76">
        <v>7.4613940777203602</v>
      </c>
      <c r="F76">
        <v>-7.4252769571864699</v>
      </c>
      <c r="G76">
        <v>10.4815502339591</v>
      </c>
      <c r="H76">
        <v>8.1805629937545596</v>
      </c>
      <c r="I76">
        <v>-7.7763097830271297</v>
      </c>
      <c r="J76">
        <v>12.1985049063133</v>
      </c>
      <c r="K76">
        <v>0.99060678013589798</v>
      </c>
      <c r="L76">
        <v>2.3871040770470202</v>
      </c>
      <c r="M76">
        <v>9.7202553446596607</v>
      </c>
      <c r="N76">
        <v>1.3684175638103</v>
      </c>
      <c r="O76">
        <v>2.5389193219249901</v>
      </c>
      <c r="P76">
        <v>9.2068114043467109</v>
      </c>
      <c r="Q76">
        <v>7.1774907408392501</v>
      </c>
      <c r="R76">
        <v>-4.70349187756515</v>
      </c>
      <c r="S76">
        <v>11.8445675589986</v>
      </c>
      <c r="T76">
        <v>9.7721630081783601</v>
      </c>
      <c r="U76">
        <v>-6.51067929278239</v>
      </c>
      <c r="V76">
        <v>17.942113996764299</v>
      </c>
      <c r="W76">
        <v>9.6427689094759899</v>
      </c>
      <c r="X76">
        <v>-6.0086011011479696</v>
      </c>
      <c r="Y76">
        <v>17.5013519162558</v>
      </c>
      <c r="Z76">
        <v>9.9578664837807302</v>
      </c>
      <c r="AA76">
        <v>-9.32886527538796</v>
      </c>
      <c r="AB76">
        <v>14.7052678611579</v>
      </c>
    </row>
    <row r="77" spans="1:28" x14ac:dyDescent="0.25">
      <c r="A77">
        <v>76</v>
      </c>
      <c r="B77">
        <v>3036</v>
      </c>
      <c r="C77">
        <v>3</v>
      </c>
      <c r="D77">
        <v>2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  <c r="S77" t="s">
        <v>20</v>
      </c>
      <c r="T77" t="s">
        <v>20</v>
      </c>
      <c r="U77" t="s">
        <v>20</v>
      </c>
      <c r="V77" t="s">
        <v>20</v>
      </c>
      <c r="W77" t="s">
        <v>20</v>
      </c>
      <c r="X77" t="s">
        <v>20</v>
      </c>
      <c r="Y77" t="s">
        <v>20</v>
      </c>
      <c r="Z77" t="s">
        <v>20</v>
      </c>
      <c r="AA77" t="s">
        <v>20</v>
      </c>
      <c r="AB77" t="s">
        <v>20</v>
      </c>
    </row>
    <row r="78" spans="1:28" x14ac:dyDescent="0.25">
      <c r="A78">
        <v>77</v>
      </c>
      <c r="B78">
        <v>3040</v>
      </c>
      <c r="C78">
        <v>3</v>
      </c>
      <c r="D78">
        <v>2</v>
      </c>
      <c r="E78">
        <v>1.67180870654005</v>
      </c>
      <c r="F78">
        <v>0.85583300407714402</v>
      </c>
      <c r="G78">
        <v>3.9824707071994401</v>
      </c>
      <c r="H78">
        <v>2.1269649603860499</v>
      </c>
      <c r="I78">
        <v>0.68303394800606698</v>
      </c>
      <c r="J78">
        <v>5.1092656004741404</v>
      </c>
      <c r="K78">
        <v>2.08640041782962</v>
      </c>
      <c r="L78">
        <v>0.69879304170879797</v>
      </c>
      <c r="M78">
        <v>7.17829952653753</v>
      </c>
      <c r="N78">
        <v>1.9909359474956301</v>
      </c>
      <c r="O78">
        <v>0.78940075054902703</v>
      </c>
      <c r="P78">
        <v>7.2180990108940097</v>
      </c>
      <c r="Q78">
        <v>1.83607701823931</v>
      </c>
      <c r="R78">
        <v>1.54888078916279</v>
      </c>
      <c r="S78">
        <v>4.8652168273636702</v>
      </c>
      <c r="T78">
        <v>1.1968445114614501</v>
      </c>
      <c r="U78">
        <v>4.3691431560865102</v>
      </c>
      <c r="V78">
        <v>12.989508538054499</v>
      </c>
      <c r="W78">
        <v>1.1756939631944301</v>
      </c>
      <c r="X78">
        <v>4.4793451921840797</v>
      </c>
      <c r="Y78">
        <v>12.9679486087716</v>
      </c>
      <c r="Z78">
        <v>0.99833872024491399</v>
      </c>
      <c r="AA78">
        <v>1.8292714043610301</v>
      </c>
      <c r="AB78">
        <v>10.622251404625301</v>
      </c>
    </row>
    <row r="79" spans="1:28" x14ac:dyDescent="0.25">
      <c r="A79">
        <v>78</v>
      </c>
      <c r="B79">
        <v>3041</v>
      </c>
      <c r="C79">
        <v>3</v>
      </c>
      <c r="D79">
        <v>2</v>
      </c>
      <c r="E79">
        <v>2.9967861890025098</v>
      </c>
      <c r="F79">
        <v>1.7449380778496599</v>
      </c>
      <c r="G79">
        <v>6.02498521965747</v>
      </c>
      <c r="H79">
        <v>4.4067041047640201</v>
      </c>
      <c r="I79">
        <v>0.73410747530144105</v>
      </c>
      <c r="J79">
        <v>7.6635258957741703</v>
      </c>
      <c r="K79">
        <v>3.47620679386785</v>
      </c>
      <c r="L79">
        <v>2.0832293629162701</v>
      </c>
      <c r="M79">
        <v>9.7739917525295201</v>
      </c>
      <c r="N79">
        <v>3.2885485420423599</v>
      </c>
      <c r="O79">
        <v>2.0662468458188901</v>
      </c>
      <c r="P79">
        <v>9.7636683479211097</v>
      </c>
      <c r="Q79">
        <v>6.0406127211141696</v>
      </c>
      <c r="R79">
        <v>0.94173106477540602</v>
      </c>
      <c r="S79">
        <v>7.1983572048773299</v>
      </c>
      <c r="T79">
        <v>10.373328763476</v>
      </c>
      <c r="U79">
        <v>-0.49799785580599898</v>
      </c>
      <c r="V79">
        <v>13.374083207021799</v>
      </c>
      <c r="W79">
        <v>8.5041909441274708</v>
      </c>
      <c r="X79">
        <v>1.2098727557529501</v>
      </c>
      <c r="Y79">
        <v>13.3068998756486</v>
      </c>
      <c r="Z79">
        <v>5.7267294300532496</v>
      </c>
      <c r="AA79">
        <v>0.54156600811059197</v>
      </c>
      <c r="AB79">
        <v>10.7834464441689</v>
      </c>
    </row>
    <row r="80" spans="1:28" x14ac:dyDescent="0.25">
      <c r="A80">
        <v>79</v>
      </c>
      <c r="B80">
        <v>3043</v>
      </c>
      <c r="C80">
        <v>3</v>
      </c>
      <c r="D80">
        <v>2</v>
      </c>
      <c r="E80">
        <v>0.51166185093043304</v>
      </c>
      <c r="F80">
        <v>0.75084123411814696</v>
      </c>
      <c r="G80">
        <v>3.5102094562985302</v>
      </c>
      <c r="H80">
        <v>0.25723350302579101</v>
      </c>
      <c r="I80">
        <v>1.3372721216515999</v>
      </c>
      <c r="J80">
        <v>4.31063408036289</v>
      </c>
      <c r="K80">
        <v>-2.80933078976741E-2</v>
      </c>
      <c r="L80">
        <v>2.6472733026257398</v>
      </c>
      <c r="M80">
        <v>7.2349488070671999</v>
      </c>
      <c r="N80">
        <v>0.20538761403688899</v>
      </c>
      <c r="O80">
        <v>2.0851773114287901</v>
      </c>
      <c r="P80">
        <v>7.1111098695411297</v>
      </c>
      <c r="Q80">
        <v>-0.14677956998692199</v>
      </c>
      <c r="R80">
        <v>2.3410203897629098</v>
      </c>
      <c r="S80">
        <v>4.7310623121681301</v>
      </c>
      <c r="T80">
        <v>-3.7706312495689698</v>
      </c>
      <c r="U80">
        <v>11.387343320980699</v>
      </c>
      <c r="V80">
        <v>9.4626260973587808</v>
      </c>
      <c r="W80">
        <v>-3.8406114822595101</v>
      </c>
      <c r="X80">
        <v>11.408972728215501</v>
      </c>
      <c r="Y80">
        <v>9.4739176006487398</v>
      </c>
      <c r="Z80">
        <v>-2.4405471186874901</v>
      </c>
      <c r="AA80">
        <v>7.1336796190915104</v>
      </c>
      <c r="AB80">
        <v>7.0165740309067104</v>
      </c>
    </row>
    <row r="81" spans="1:28" x14ac:dyDescent="0.25">
      <c r="A81">
        <v>80</v>
      </c>
      <c r="B81">
        <v>3054</v>
      </c>
      <c r="C81">
        <v>3</v>
      </c>
      <c r="D81">
        <v>2</v>
      </c>
      <c r="E81">
        <v>1.1114553192227301</v>
      </c>
      <c r="F81">
        <v>0.60417238479215196</v>
      </c>
      <c r="G81">
        <v>8.7362716639153408</v>
      </c>
      <c r="H81">
        <v>0.74610413106242401</v>
      </c>
      <c r="I81">
        <v>1.75630750584189</v>
      </c>
      <c r="J81">
        <v>9.6485582603188895</v>
      </c>
      <c r="K81">
        <v>1.0650909297147699</v>
      </c>
      <c r="L81">
        <v>2.0844511096737501</v>
      </c>
      <c r="M81">
        <v>11.748184811362901</v>
      </c>
      <c r="N81">
        <v>1.1434584119339399</v>
      </c>
      <c r="O81">
        <v>1.9896580612573</v>
      </c>
      <c r="P81">
        <v>11.7057549733464</v>
      </c>
      <c r="Q81">
        <v>0.47341303731692802</v>
      </c>
      <c r="R81">
        <v>2.4820243927602701</v>
      </c>
      <c r="S81">
        <v>9.6803034936738896</v>
      </c>
      <c r="T81">
        <v>-1.37810799653387E-2</v>
      </c>
      <c r="U81">
        <v>4.9494638808867597</v>
      </c>
      <c r="V81">
        <v>14.132971100330399</v>
      </c>
      <c r="W81">
        <v>-0.38831465096819401</v>
      </c>
      <c r="X81">
        <v>5.6852997272893404</v>
      </c>
      <c r="Y81">
        <v>13.8435182671092</v>
      </c>
      <c r="Z81">
        <v>1.86416435353154</v>
      </c>
      <c r="AA81">
        <v>0.89572385876913796</v>
      </c>
      <c r="AB81">
        <v>11.099950896180999</v>
      </c>
    </row>
    <row r="82" spans="1:28" x14ac:dyDescent="0.25">
      <c r="A82">
        <v>81</v>
      </c>
      <c r="B82">
        <v>3055</v>
      </c>
      <c r="C82">
        <v>3</v>
      </c>
      <c r="D82">
        <v>2</v>
      </c>
      <c r="E82">
        <v>-0.43259195116360599</v>
      </c>
      <c r="F82">
        <v>1.0608314643852299</v>
      </c>
      <c r="G82">
        <v>4.3023316663376798</v>
      </c>
      <c r="H82">
        <v>-0.72803504837372601</v>
      </c>
      <c r="I82">
        <v>2.3219346231283402</v>
      </c>
      <c r="J82">
        <v>5.5818852754946597</v>
      </c>
      <c r="K82">
        <v>-1.32320935142337</v>
      </c>
      <c r="L82">
        <v>3.38086425690109</v>
      </c>
      <c r="M82">
        <v>10.1495066549793</v>
      </c>
      <c r="N82">
        <v>-1.0134824020995701</v>
      </c>
      <c r="O82">
        <v>2.8589627851412498</v>
      </c>
      <c r="P82">
        <v>10.1118453108687</v>
      </c>
      <c r="Q82">
        <v>-0.212890512071681</v>
      </c>
      <c r="R82">
        <v>1.37237506491132</v>
      </c>
      <c r="S82">
        <v>5.9048344432641899</v>
      </c>
      <c r="T82">
        <v>-2.4900954840096601</v>
      </c>
      <c r="U82">
        <v>8.8362991476097008</v>
      </c>
      <c r="V82">
        <v>10.805058307022399</v>
      </c>
      <c r="W82">
        <v>-2.4331679660869598</v>
      </c>
      <c r="X82">
        <v>8.6902184626574197</v>
      </c>
      <c r="Y82">
        <v>10.8815576012572</v>
      </c>
      <c r="Z82">
        <v>-2.3074480878457302</v>
      </c>
      <c r="AA82">
        <v>6.9158420489674697</v>
      </c>
      <c r="AB82">
        <v>7.4538647162826397</v>
      </c>
    </row>
    <row r="83" spans="1:28" x14ac:dyDescent="0.25">
      <c r="A83">
        <v>82</v>
      </c>
      <c r="B83">
        <v>3058</v>
      </c>
      <c r="C83">
        <v>3</v>
      </c>
      <c r="D83">
        <v>2</v>
      </c>
      <c r="E83">
        <v>0.26248041334868599</v>
      </c>
      <c r="F83">
        <v>1.9860422036780501</v>
      </c>
      <c r="G83">
        <v>5.0686676990672197</v>
      </c>
      <c r="H83">
        <v>0.32895308849642402</v>
      </c>
      <c r="I83">
        <v>1.87541545626475</v>
      </c>
      <c r="J83">
        <v>6.8747077706447701</v>
      </c>
      <c r="K83">
        <v>0.89616909018493196</v>
      </c>
      <c r="L83">
        <v>0.65680430287838898</v>
      </c>
      <c r="M83">
        <v>11.738960394604</v>
      </c>
      <c r="N83">
        <v>0.77784683450922798</v>
      </c>
      <c r="O83">
        <v>0.86900927951510298</v>
      </c>
      <c r="P83">
        <v>11.6398349219905</v>
      </c>
      <c r="Q83">
        <v>1.02292106298895</v>
      </c>
      <c r="R83">
        <v>1.3009484414075201</v>
      </c>
      <c r="S83">
        <v>7.3134458782977996</v>
      </c>
      <c r="T83">
        <v>0.14015791437383601</v>
      </c>
      <c r="U83">
        <v>4.2299500104747896</v>
      </c>
      <c r="V83">
        <v>13.166731283581599</v>
      </c>
      <c r="W83">
        <v>0.54905414994426005</v>
      </c>
      <c r="X83">
        <v>3.7370686888295199</v>
      </c>
      <c r="Y83">
        <v>13.0282293399908</v>
      </c>
      <c r="Z83">
        <v>-0.21002843820931999</v>
      </c>
      <c r="AA83">
        <v>3.3881743549484402</v>
      </c>
      <c r="AB83">
        <v>9.2133502159307596</v>
      </c>
    </row>
    <row r="84" spans="1:28" x14ac:dyDescent="0.25">
      <c r="A84">
        <v>83</v>
      </c>
      <c r="B84">
        <v>3059</v>
      </c>
      <c r="C84">
        <v>3</v>
      </c>
      <c r="D84">
        <v>2</v>
      </c>
      <c r="E84">
        <v>-0.87651645175457005</v>
      </c>
      <c r="F84">
        <v>4.5871237240666796</v>
      </c>
      <c r="G84">
        <v>3.79995192441105</v>
      </c>
      <c r="H84">
        <v>-0.187949721454055</v>
      </c>
      <c r="I84">
        <v>4.3060391522802099</v>
      </c>
      <c r="J84">
        <v>4.8120354688809597</v>
      </c>
      <c r="K84">
        <v>-2.04120718299305</v>
      </c>
      <c r="L84">
        <v>8.3269219935331993</v>
      </c>
      <c r="M84">
        <v>7.1742358056401798</v>
      </c>
      <c r="N84">
        <v>-1.7538777527398099</v>
      </c>
      <c r="O84">
        <v>7.7567322392217299</v>
      </c>
      <c r="P84">
        <v>7.3359531353170899</v>
      </c>
      <c r="Q84">
        <v>-0.57976622735843597</v>
      </c>
      <c r="R84">
        <v>5.2231143458326201</v>
      </c>
      <c r="S84">
        <v>5.24697807127641</v>
      </c>
      <c r="T84">
        <v>1.1749329054406099</v>
      </c>
      <c r="U84">
        <v>4.3643567654946196</v>
      </c>
      <c r="V84">
        <v>11.579434110336299</v>
      </c>
      <c r="W84">
        <v>1.64008414590998</v>
      </c>
      <c r="X84">
        <v>3.8215764762018898</v>
      </c>
      <c r="Y84">
        <v>11.570895206169901</v>
      </c>
      <c r="Z84">
        <v>1.49352572746975</v>
      </c>
      <c r="AA84">
        <v>2.1505456396564999</v>
      </c>
      <c r="AB84">
        <v>8.4677109172604208</v>
      </c>
    </row>
    <row r="85" spans="1:28" x14ac:dyDescent="0.25">
      <c r="A85">
        <v>84</v>
      </c>
      <c r="B85">
        <v>3066</v>
      </c>
      <c r="C85">
        <v>3</v>
      </c>
      <c r="D85">
        <v>2</v>
      </c>
      <c r="E85">
        <v>-2.5033574360811701</v>
      </c>
      <c r="F85">
        <v>6.7646633562162499</v>
      </c>
      <c r="G85">
        <v>7.69294826473888</v>
      </c>
      <c r="H85">
        <v>-1.9603225751230899</v>
      </c>
      <c r="I85">
        <v>6.5057190337667601</v>
      </c>
      <c r="J85">
        <v>9.5008426585373993</v>
      </c>
      <c r="K85">
        <v>0.51301992292635101</v>
      </c>
      <c r="L85">
        <v>3.9891118118157398</v>
      </c>
      <c r="M85">
        <v>14.3546286624844</v>
      </c>
      <c r="N85">
        <v>0.36506442702095199</v>
      </c>
      <c r="O85">
        <v>4.3655130073681301</v>
      </c>
      <c r="P85">
        <v>13.9587150060834</v>
      </c>
      <c r="Q85">
        <v>-3.5388016512143201</v>
      </c>
      <c r="R85">
        <v>9.8253062401257498</v>
      </c>
      <c r="S85">
        <v>10.3886533186002</v>
      </c>
      <c r="T85">
        <v>-3.2309303717048299</v>
      </c>
      <c r="U85">
        <v>13.039837349226801</v>
      </c>
      <c r="V85">
        <v>18.296992660426</v>
      </c>
      <c r="W85">
        <v>-5.0212853239052899</v>
      </c>
      <c r="X85">
        <v>15.553648874779601</v>
      </c>
      <c r="Y85">
        <v>17.631680140665502</v>
      </c>
      <c r="Z85">
        <v>-2.4065928287094098</v>
      </c>
      <c r="AA85">
        <v>9.1542473720714899</v>
      </c>
      <c r="AB85">
        <v>11.923245210993599</v>
      </c>
    </row>
    <row r="86" spans="1:28" x14ac:dyDescent="0.25">
      <c r="A86">
        <v>85</v>
      </c>
      <c r="B86">
        <v>3068</v>
      </c>
      <c r="C86">
        <v>3</v>
      </c>
      <c r="D86">
        <v>2</v>
      </c>
      <c r="E86">
        <v>1.0779935984664899</v>
      </c>
      <c r="F86">
        <v>0.23918824992482099</v>
      </c>
      <c r="G86">
        <v>4.1695523226300999</v>
      </c>
      <c r="H86">
        <v>1.313040147016</v>
      </c>
      <c r="I86">
        <v>-1.64287003131281E-3</v>
      </c>
      <c r="J86">
        <v>5.2312740412272598</v>
      </c>
      <c r="K86">
        <v>0.63503057448710598</v>
      </c>
      <c r="L86">
        <v>3.89113470664575</v>
      </c>
      <c r="M86">
        <v>8.6231531856204704</v>
      </c>
      <c r="N86">
        <v>0.67020939254867196</v>
      </c>
      <c r="O86">
        <v>3.8009575087401299</v>
      </c>
      <c r="P86">
        <v>8.6293167334419003</v>
      </c>
      <c r="Q86">
        <v>1.50037260836075</v>
      </c>
      <c r="R86">
        <v>1.04623862436074</v>
      </c>
      <c r="S86">
        <v>5.5978749687347902</v>
      </c>
      <c r="T86">
        <v>0.12554560823568101</v>
      </c>
      <c r="U86">
        <v>5.2566328386394403</v>
      </c>
      <c r="V86">
        <v>10.4373482878059</v>
      </c>
      <c r="W86">
        <v>-0.123857070827911</v>
      </c>
      <c r="X86">
        <v>5.55786644957875</v>
      </c>
      <c r="Y86">
        <v>10.4282008803817</v>
      </c>
      <c r="Z86">
        <v>-0.42161056351417597</v>
      </c>
      <c r="AA86">
        <v>4.1174257362107598</v>
      </c>
      <c r="AB86">
        <v>7.3157751128129096</v>
      </c>
    </row>
    <row r="87" spans="1:28" x14ac:dyDescent="0.25">
      <c r="A87">
        <v>86</v>
      </c>
      <c r="B87">
        <v>3069</v>
      </c>
      <c r="C87">
        <v>3</v>
      </c>
      <c r="D87">
        <v>2</v>
      </c>
      <c r="E87">
        <v>-1.88359022552544</v>
      </c>
      <c r="F87">
        <v>4.9283868855166801</v>
      </c>
      <c r="G87">
        <v>3.7169060447807798</v>
      </c>
      <c r="H87">
        <v>-1.6914519501574199</v>
      </c>
      <c r="I87">
        <v>5.1278153109671303</v>
      </c>
      <c r="J87">
        <v>4.5218658294845397</v>
      </c>
      <c r="K87">
        <v>-1.8206791887985301</v>
      </c>
      <c r="L87">
        <v>6.3001374554036396</v>
      </c>
      <c r="M87">
        <v>7.07287106483441</v>
      </c>
      <c r="N87">
        <v>-1.51565388543685</v>
      </c>
      <c r="O87">
        <v>5.8067556731541004</v>
      </c>
      <c r="P87">
        <v>7.0909675093683502</v>
      </c>
      <c r="Q87">
        <v>-2.6330378156953702</v>
      </c>
      <c r="R87">
        <v>7.3004434374279201</v>
      </c>
      <c r="S87">
        <v>5.1762025829727296</v>
      </c>
      <c r="T87">
        <v>-5.2369216490611201</v>
      </c>
      <c r="U87">
        <v>14.3733321176283</v>
      </c>
      <c r="V87">
        <v>9.9311125503498108</v>
      </c>
      <c r="W87">
        <v>-5.2958442996062098</v>
      </c>
      <c r="X87">
        <v>14.540203667778099</v>
      </c>
      <c r="Y87">
        <v>9.8179811707121303</v>
      </c>
      <c r="Z87">
        <v>-1.34573323234391</v>
      </c>
      <c r="AA87">
        <v>6.5734145119223699</v>
      </c>
      <c r="AB87">
        <v>7.7416204856946802</v>
      </c>
    </row>
    <row r="88" spans="1:28" x14ac:dyDescent="0.25">
      <c r="A88">
        <v>87</v>
      </c>
      <c r="B88">
        <v>3070</v>
      </c>
      <c r="C88">
        <v>3</v>
      </c>
      <c r="D88">
        <v>2</v>
      </c>
      <c r="E88">
        <v>8.5923695648039793</v>
      </c>
      <c r="F88">
        <v>-7.9782993440016297</v>
      </c>
      <c r="G88">
        <v>8.3900923139188706</v>
      </c>
      <c r="H88">
        <v>10.141925847834701</v>
      </c>
      <c r="I88">
        <v>-8.56225641248278</v>
      </c>
      <c r="J88">
        <v>8.8264813801121704</v>
      </c>
      <c r="K88">
        <v>3.8761297952589402</v>
      </c>
      <c r="L88">
        <v>1.3503620859919701</v>
      </c>
      <c r="M88">
        <v>11.5902513712826</v>
      </c>
      <c r="N88">
        <v>4.8945696496019302</v>
      </c>
      <c r="O88">
        <v>-0.37030398934172698</v>
      </c>
      <c r="P88">
        <v>11.4950857938809</v>
      </c>
      <c r="Q88">
        <v>8.2169158586386093</v>
      </c>
      <c r="R88">
        <v>-6.35548144262986</v>
      </c>
      <c r="S88">
        <v>9.27287839828975</v>
      </c>
      <c r="T88">
        <v>7.1857625871597097</v>
      </c>
      <c r="U88">
        <v>0.170345980755609</v>
      </c>
      <c r="V88">
        <v>11.9712488377239</v>
      </c>
      <c r="W88">
        <v>7.5515009875730899</v>
      </c>
      <c r="X88">
        <v>-0.29289277873193098</v>
      </c>
      <c r="Y88">
        <v>12.0105431763015</v>
      </c>
      <c r="Z88">
        <v>8.3004289945781409</v>
      </c>
      <c r="AA88">
        <v>-4.40937692005076</v>
      </c>
      <c r="AB88">
        <v>10.263509026009499</v>
      </c>
    </row>
    <row r="89" spans="1:28" x14ac:dyDescent="0.25">
      <c r="A89">
        <v>88</v>
      </c>
      <c r="B89">
        <v>3074</v>
      </c>
      <c r="C89">
        <v>3</v>
      </c>
      <c r="D89">
        <v>2</v>
      </c>
      <c r="E89">
        <v>-2.11840545834945</v>
      </c>
      <c r="F89">
        <v>3.2995853920093299</v>
      </c>
      <c r="G89">
        <v>5.0259535957635197</v>
      </c>
      <c r="H89">
        <v>-1.52661683006277</v>
      </c>
      <c r="I89">
        <v>2.6613988614200101</v>
      </c>
      <c r="J89">
        <v>6.7899475099615803</v>
      </c>
      <c r="K89">
        <v>-0.458714833853969</v>
      </c>
      <c r="L89">
        <v>2.8543083634910902</v>
      </c>
      <c r="M89">
        <v>8.4443106905518608</v>
      </c>
      <c r="N89">
        <v>-0.44417346465359597</v>
      </c>
      <c r="O89">
        <v>2.7479014100300301</v>
      </c>
      <c r="P89">
        <v>8.4723745154126693</v>
      </c>
      <c r="Q89">
        <v>-1.8799248042839301</v>
      </c>
      <c r="R89">
        <v>3.4518928818469399</v>
      </c>
      <c r="S89">
        <v>6.1946492749443198</v>
      </c>
      <c r="T89">
        <v>-1.73548779789035</v>
      </c>
      <c r="U89">
        <v>6.3376576579910999</v>
      </c>
      <c r="V89">
        <v>12.3308555748979</v>
      </c>
      <c r="W89">
        <v>-1.1025354984078399</v>
      </c>
      <c r="X89">
        <v>5.5051584887884299</v>
      </c>
      <c r="Y89">
        <v>12.386188894062901</v>
      </c>
      <c r="Z89">
        <v>-0.63963206369457404</v>
      </c>
      <c r="AA89">
        <v>3.4421508063369899</v>
      </c>
      <c r="AB89">
        <v>9.2213489937514108</v>
      </c>
    </row>
    <row r="90" spans="1:28" x14ac:dyDescent="0.25">
      <c r="A90">
        <v>89</v>
      </c>
      <c r="B90">
        <v>3076</v>
      </c>
      <c r="C90">
        <v>3</v>
      </c>
      <c r="D90">
        <v>2</v>
      </c>
      <c r="E90">
        <v>4.7153897050765501</v>
      </c>
      <c r="F90">
        <v>-6.5943640506082701</v>
      </c>
      <c r="G90">
        <v>13.1748865760008</v>
      </c>
      <c r="H90">
        <v>7.5550691751172199</v>
      </c>
      <c r="I90">
        <v>-10.808875048942401</v>
      </c>
      <c r="J90">
        <v>16.563452264178601</v>
      </c>
      <c r="K90">
        <v>6.9907004153111902</v>
      </c>
      <c r="L90">
        <v>-8.4342297642487907</v>
      </c>
      <c r="M90">
        <v>20.771331134982901</v>
      </c>
      <c r="N90">
        <v>5.7303908497594902</v>
      </c>
      <c r="O90">
        <v>-6.0842711560145402</v>
      </c>
      <c r="P90">
        <v>19.614473980559499</v>
      </c>
      <c r="Q90">
        <v>5.1502021541593903</v>
      </c>
      <c r="R90">
        <v>-6.3337066266851698</v>
      </c>
      <c r="S90">
        <v>15.7024130181768</v>
      </c>
      <c r="T90">
        <v>11.7060832221886</v>
      </c>
      <c r="U90">
        <v>-19.158815437074001</v>
      </c>
      <c r="V90">
        <v>30.983604805017301</v>
      </c>
      <c r="W90">
        <v>11.6189387291779</v>
      </c>
      <c r="X90">
        <v>-18.9775804539494</v>
      </c>
      <c r="Y90">
        <v>30.862408878554</v>
      </c>
      <c r="Z90">
        <v>13.4333338531702</v>
      </c>
      <c r="AA90">
        <v>-22.8967302885668</v>
      </c>
      <c r="AB90">
        <v>25.921143920049701</v>
      </c>
    </row>
    <row r="91" spans="1:28" x14ac:dyDescent="0.25">
      <c r="A91">
        <v>90</v>
      </c>
      <c r="B91">
        <v>3086</v>
      </c>
      <c r="C91">
        <v>3</v>
      </c>
      <c r="D91">
        <v>2</v>
      </c>
      <c r="E91">
        <v>-0.92535373779158603</v>
      </c>
      <c r="F91">
        <v>2.84640233216783</v>
      </c>
      <c r="G91">
        <v>3.6877608519527301</v>
      </c>
      <c r="H91">
        <v>-0.61552075196033895</v>
      </c>
      <c r="I91">
        <v>2.5886874361110799</v>
      </c>
      <c r="J91">
        <v>4.7968172556692901</v>
      </c>
      <c r="K91">
        <v>-0.44926055737929399</v>
      </c>
      <c r="L91">
        <v>3.99737477355646</v>
      </c>
      <c r="M91">
        <v>6.8433723922336496</v>
      </c>
      <c r="N91">
        <v>-0.55267884690406599</v>
      </c>
      <c r="O91">
        <v>4.1302863958408</v>
      </c>
      <c r="P91">
        <v>6.8163762878330001</v>
      </c>
      <c r="Q91">
        <v>-1.23220893398222</v>
      </c>
      <c r="R91">
        <v>3.9186647697972399</v>
      </c>
      <c r="S91">
        <v>5.0211042335841798</v>
      </c>
      <c r="T91">
        <v>-2.6569867212088201</v>
      </c>
      <c r="U91">
        <v>8.7655219530653099</v>
      </c>
      <c r="V91">
        <v>11.5753679639875</v>
      </c>
      <c r="W91">
        <v>-2.7616249377823698</v>
      </c>
      <c r="X91">
        <v>8.8933994355934693</v>
      </c>
      <c r="Y91">
        <v>11.4787994564042</v>
      </c>
      <c r="Z91">
        <v>-1.0169291878881099</v>
      </c>
      <c r="AA91">
        <v>4.9549965187090601</v>
      </c>
      <c r="AB91">
        <v>7.8226337074622601</v>
      </c>
    </row>
    <row r="92" spans="1:28" x14ac:dyDescent="0.25">
      <c r="A92">
        <v>91</v>
      </c>
      <c r="B92">
        <v>3090</v>
      </c>
      <c r="C92">
        <v>3</v>
      </c>
      <c r="D92">
        <v>2</v>
      </c>
      <c r="E92">
        <v>1.0357243981463999</v>
      </c>
      <c r="F92">
        <v>1.5508014980394</v>
      </c>
      <c r="G92">
        <v>10.9155705272651</v>
      </c>
      <c r="H92">
        <v>1.7079967846370401</v>
      </c>
      <c r="I92">
        <v>1.4424672385217601</v>
      </c>
      <c r="J92">
        <v>12.372743468401699</v>
      </c>
      <c r="K92">
        <v>0.45175390975130503</v>
      </c>
      <c r="L92">
        <v>5.9980820389649301</v>
      </c>
      <c r="M92">
        <v>14.4612462293454</v>
      </c>
      <c r="N92">
        <v>0.49799405962175303</v>
      </c>
      <c r="O92">
        <v>6.00606150783348</v>
      </c>
      <c r="P92">
        <v>14.4097618862601</v>
      </c>
      <c r="Q92">
        <v>1.6277696703037501</v>
      </c>
      <c r="R92">
        <v>2.0039001280942399</v>
      </c>
      <c r="S92">
        <v>12.413539876497399</v>
      </c>
      <c r="T92">
        <v>1.4949704791562901</v>
      </c>
      <c r="U92">
        <v>5.2459983083161799</v>
      </c>
      <c r="V92">
        <v>17.218442101041099</v>
      </c>
      <c r="W92">
        <v>1.8030209877241701</v>
      </c>
      <c r="X92">
        <v>4.8756480185691702</v>
      </c>
      <c r="Y92">
        <v>17.251543869296398</v>
      </c>
      <c r="Z92">
        <v>3.9772784241407599</v>
      </c>
      <c r="AA92">
        <v>-1.2085822046775101</v>
      </c>
      <c r="AB92">
        <v>14.7623104903867</v>
      </c>
    </row>
    <row r="93" spans="1:28" x14ac:dyDescent="0.25">
      <c r="A93">
        <v>92</v>
      </c>
      <c r="B93">
        <v>3102</v>
      </c>
      <c r="C93">
        <v>3</v>
      </c>
      <c r="D93">
        <v>2</v>
      </c>
      <c r="E93">
        <v>1.85168658892063</v>
      </c>
      <c r="F93">
        <v>-1.10879721075328</v>
      </c>
      <c r="G93">
        <v>5.4822161157839302</v>
      </c>
      <c r="H93">
        <v>1.7393091995644501</v>
      </c>
      <c r="I93">
        <v>-0.17724550312884799</v>
      </c>
      <c r="J93">
        <v>5.6455298595028403</v>
      </c>
      <c r="K93">
        <v>-0.13678475834030501</v>
      </c>
      <c r="L93">
        <v>4.12613371045531</v>
      </c>
      <c r="M93">
        <v>8.9988340444771602</v>
      </c>
      <c r="N93">
        <v>0.216673792065846</v>
      </c>
      <c r="O93">
        <v>3.5490896178148801</v>
      </c>
      <c r="P93">
        <v>9.0324104161432395</v>
      </c>
      <c r="Q93">
        <v>1.34429151800571</v>
      </c>
      <c r="R93">
        <v>0.87543784782466905</v>
      </c>
      <c r="S93">
        <v>6.6515199889775003</v>
      </c>
      <c r="T93">
        <v>-2.0351815185344</v>
      </c>
      <c r="U93">
        <v>8.72999766374903</v>
      </c>
      <c r="V93">
        <v>9.9700621553902895</v>
      </c>
      <c r="W93">
        <v>-2.0315915460989098</v>
      </c>
      <c r="X93">
        <v>8.6926629253085501</v>
      </c>
      <c r="Y93">
        <v>9.9807627135198302</v>
      </c>
      <c r="Z93">
        <v>-0.48152534272883701</v>
      </c>
      <c r="AA93">
        <v>5.2533239078162302</v>
      </c>
      <c r="AB93">
        <v>6.67563351340032</v>
      </c>
    </row>
    <row r="94" spans="1:28" x14ac:dyDescent="0.25">
      <c r="A94">
        <v>93</v>
      </c>
      <c r="B94">
        <v>3104</v>
      </c>
      <c r="C94">
        <v>3</v>
      </c>
      <c r="D94">
        <v>2</v>
      </c>
      <c r="E94">
        <v>-1.682536811171</v>
      </c>
      <c r="F94">
        <v>6.1094294968539904</v>
      </c>
      <c r="G94">
        <v>4.8767830640336598</v>
      </c>
      <c r="H94">
        <v>-1.5811545455821701</v>
      </c>
      <c r="I94">
        <v>6.9343326780915397</v>
      </c>
      <c r="J94">
        <v>5.99285743916582</v>
      </c>
      <c r="K94">
        <v>2.1661300691359502</v>
      </c>
      <c r="L94">
        <v>3.6081426447993898</v>
      </c>
      <c r="M94">
        <v>10.4073678437537</v>
      </c>
      <c r="N94">
        <v>1.3264261611966901</v>
      </c>
      <c r="O94">
        <v>4.6982538388678901</v>
      </c>
      <c r="P94">
        <v>10.1638565699858</v>
      </c>
      <c r="Q94">
        <v>-0.96800901483563195</v>
      </c>
      <c r="R94">
        <v>7.4333046143213597</v>
      </c>
      <c r="S94">
        <v>6.3456943894791502</v>
      </c>
      <c r="T94">
        <v>-0.99143625897441201</v>
      </c>
      <c r="U94">
        <v>10.3336229635983</v>
      </c>
      <c r="V94">
        <v>11.4048468870223</v>
      </c>
      <c r="W94">
        <v>-0.501150861059247</v>
      </c>
      <c r="X94">
        <v>10.0416467366378</v>
      </c>
      <c r="Y94">
        <v>11.2994015715609</v>
      </c>
      <c r="Z94">
        <v>-0.96836207383552297</v>
      </c>
      <c r="AA94">
        <v>7.71279409652879</v>
      </c>
      <c r="AB94">
        <v>8.1092365778033706</v>
      </c>
    </row>
    <row r="95" spans="1:28" x14ac:dyDescent="0.25">
      <c r="A95">
        <v>94</v>
      </c>
      <c r="B95">
        <v>3105</v>
      </c>
      <c r="C95">
        <v>3</v>
      </c>
      <c r="D95">
        <v>2</v>
      </c>
      <c r="E95">
        <v>0.25187303847440501</v>
      </c>
      <c r="F95">
        <v>3.8283793743670902</v>
      </c>
      <c r="G95">
        <v>4.9009664700594104</v>
      </c>
      <c r="H95">
        <v>-0.658336444521742</v>
      </c>
      <c r="I95">
        <v>5.4414806663140398</v>
      </c>
      <c r="J95">
        <v>6.0280440893888896</v>
      </c>
      <c r="K95">
        <v>-2.6768139085617899</v>
      </c>
      <c r="L95">
        <v>9.5024000059399896</v>
      </c>
      <c r="M95">
        <v>9.7087427085490408</v>
      </c>
      <c r="N95">
        <v>-2.1747098724588998</v>
      </c>
      <c r="O95">
        <v>8.5333151464747203</v>
      </c>
      <c r="P95">
        <v>9.7315780934023408</v>
      </c>
      <c r="Q95">
        <v>-0.34450461851039199</v>
      </c>
      <c r="R95">
        <v>5.43438851469136</v>
      </c>
      <c r="S95">
        <v>6.6261664731262702</v>
      </c>
      <c r="T95">
        <v>-1.3377135173588099</v>
      </c>
      <c r="U95">
        <v>10.6811034827914</v>
      </c>
      <c r="V95">
        <v>12.3096848882117</v>
      </c>
      <c r="W95">
        <v>-1.28753028135227</v>
      </c>
      <c r="X95">
        <v>10.497478125252099</v>
      </c>
      <c r="Y95">
        <v>12.2951738284959</v>
      </c>
      <c r="Z95">
        <v>-1.9940111115208301</v>
      </c>
      <c r="AA95">
        <v>9.5142974927267705</v>
      </c>
      <c r="AB95">
        <v>8.3450434207959905</v>
      </c>
    </row>
    <row r="96" spans="1:28" x14ac:dyDescent="0.25">
      <c r="A96">
        <v>95</v>
      </c>
      <c r="B96">
        <v>3106</v>
      </c>
      <c r="C96">
        <v>3</v>
      </c>
      <c r="D96">
        <v>2</v>
      </c>
      <c r="E96">
        <v>0.47899079890899499</v>
      </c>
      <c r="F96">
        <v>2.2888291574812101</v>
      </c>
      <c r="G96">
        <v>4.0347962659548102</v>
      </c>
      <c r="H96">
        <v>-0.21252253054894099</v>
      </c>
      <c r="I96">
        <v>3.9695486747872999</v>
      </c>
      <c r="J96">
        <v>4.8882880141399498</v>
      </c>
      <c r="K96">
        <v>-1.03868704364438</v>
      </c>
      <c r="L96">
        <v>6.8271922837191603</v>
      </c>
      <c r="M96">
        <v>7.1264928277280504</v>
      </c>
      <c r="N96">
        <v>-1.4571753226777799</v>
      </c>
      <c r="O96">
        <v>7.1547499860228401</v>
      </c>
      <c r="P96">
        <v>7.0893739043992499</v>
      </c>
      <c r="Q96">
        <v>-0.56868334358425598</v>
      </c>
      <c r="R96">
        <v>4.5340151772745099</v>
      </c>
      <c r="S96">
        <v>4.7949723292685196</v>
      </c>
      <c r="T96">
        <v>-1.02064119362519</v>
      </c>
      <c r="U96">
        <v>7.18812870381353</v>
      </c>
      <c r="V96">
        <v>10.099466637026101</v>
      </c>
      <c r="W96">
        <v>-1.1481564107539599</v>
      </c>
      <c r="X96">
        <v>7.43817272334514</v>
      </c>
      <c r="Y96">
        <v>10.0575786820686</v>
      </c>
      <c r="Z96">
        <v>-0.80515398839231</v>
      </c>
      <c r="AA96">
        <v>5.6463523142650303</v>
      </c>
      <c r="AB96">
        <v>6.8522543863358099</v>
      </c>
    </row>
    <row r="97" spans="1:28" x14ac:dyDescent="0.25">
      <c r="A97">
        <v>96</v>
      </c>
      <c r="B97">
        <v>3108</v>
      </c>
      <c r="C97">
        <v>3</v>
      </c>
      <c r="D97">
        <v>2</v>
      </c>
      <c r="E97">
        <v>-1.9519687248156301</v>
      </c>
      <c r="F97">
        <v>7.9287304778424499</v>
      </c>
      <c r="G97">
        <v>7.35443819975601</v>
      </c>
      <c r="H97">
        <v>-1.79254685665303</v>
      </c>
      <c r="I97">
        <v>8.5461583872136693</v>
      </c>
      <c r="J97">
        <v>9.2541764936108404</v>
      </c>
      <c r="K97">
        <v>-4.601613388574</v>
      </c>
      <c r="L97">
        <v>11.635728382532401</v>
      </c>
      <c r="M97">
        <v>11.4355184008071</v>
      </c>
      <c r="N97">
        <v>-4.7576885923243504</v>
      </c>
      <c r="O97">
        <v>11.808091204901499</v>
      </c>
      <c r="P97">
        <v>11.2847888785587</v>
      </c>
      <c r="Q97">
        <v>-3.0504795198162298</v>
      </c>
      <c r="R97">
        <v>11.1560549250236</v>
      </c>
      <c r="S97">
        <v>8.6797852333132504</v>
      </c>
      <c r="T97">
        <v>-5.71095966273956</v>
      </c>
      <c r="U97">
        <v>18.962677464526301</v>
      </c>
      <c r="V97">
        <v>15.850426112561699</v>
      </c>
      <c r="W97">
        <v>-5.0338461657393303</v>
      </c>
      <c r="X97">
        <v>17.885435838550901</v>
      </c>
      <c r="Y97">
        <v>15.960608552953699</v>
      </c>
      <c r="Z97">
        <v>-1.36505189842408</v>
      </c>
      <c r="AA97">
        <v>10.0121757338816</v>
      </c>
      <c r="AB97">
        <v>12.062552383188001</v>
      </c>
    </row>
    <row r="98" spans="1:28" x14ac:dyDescent="0.25">
      <c r="A98">
        <v>97</v>
      </c>
      <c r="B98">
        <v>3110</v>
      </c>
      <c r="C98">
        <v>3</v>
      </c>
      <c r="D98">
        <v>2</v>
      </c>
      <c r="E98">
        <v>5.0072991614879996</v>
      </c>
      <c r="F98">
        <v>-4.7176289480400797</v>
      </c>
      <c r="G98">
        <v>6.9230570177803603</v>
      </c>
      <c r="H98">
        <v>4.12501906786063</v>
      </c>
      <c r="I98">
        <v>-2.2899108754626201</v>
      </c>
      <c r="J98">
        <v>8.0653811020348503</v>
      </c>
      <c r="K98">
        <v>2.6232906264068698</v>
      </c>
      <c r="L98">
        <v>1.29311337406398</v>
      </c>
      <c r="M98">
        <v>10.9244805897146</v>
      </c>
      <c r="N98">
        <v>2.5925932152314202</v>
      </c>
      <c r="O98">
        <v>1.34452333336081</v>
      </c>
      <c r="P98">
        <v>10.8367840876043</v>
      </c>
      <c r="Q98">
        <v>3.4411328833154502</v>
      </c>
      <c r="R98">
        <v>-1.3789155782561699</v>
      </c>
      <c r="S98">
        <v>8.1697350036047496</v>
      </c>
      <c r="T98">
        <v>1.7670254270118599</v>
      </c>
      <c r="U98">
        <v>5.8591420004077701</v>
      </c>
      <c r="V98">
        <v>13.1400359789553</v>
      </c>
      <c r="W98">
        <v>1.70261139666809</v>
      </c>
      <c r="X98">
        <v>5.9081349515938504</v>
      </c>
      <c r="Y98">
        <v>13.134341950743</v>
      </c>
      <c r="Z98">
        <v>4.2896386121207604</v>
      </c>
      <c r="AA98">
        <v>-0.627307773052179</v>
      </c>
      <c r="AB98">
        <v>10.816693467946401</v>
      </c>
    </row>
    <row r="99" spans="1:28" x14ac:dyDescent="0.25">
      <c r="A99">
        <v>98</v>
      </c>
      <c r="B99">
        <v>3112</v>
      </c>
      <c r="C99">
        <v>3</v>
      </c>
      <c r="D99">
        <v>2</v>
      </c>
      <c r="E99">
        <v>-2.0370584954256401</v>
      </c>
      <c r="F99">
        <v>3.7032346909978</v>
      </c>
      <c r="G99">
        <v>6.4260197100825804</v>
      </c>
      <c r="H99">
        <v>-2.2735922992404598</v>
      </c>
      <c r="I99">
        <v>4.8307458252795596</v>
      </c>
      <c r="J99">
        <v>6.8371725401945298</v>
      </c>
      <c r="K99">
        <v>-3.7142991724954801</v>
      </c>
      <c r="L99">
        <v>7.56244920265239</v>
      </c>
      <c r="M99">
        <v>9.9257796260934299</v>
      </c>
      <c r="N99">
        <v>-3.4574965420379802</v>
      </c>
      <c r="O99">
        <v>7.1391579574057502</v>
      </c>
      <c r="P99">
        <v>9.9904434290834008</v>
      </c>
      <c r="Q99">
        <v>-2.5758664679351702</v>
      </c>
      <c r="R99">
        <v>5.3981223008926902</v>
      </c>
      <c r="S99">
        <v>7.1987238384695997</v>
      </c>
      <c r="T99">
        <v>-4.7959472499108298</v>
      </c>
      <c r="U99">
        <v>11.492780500175799</v>
      </c>
      <c r="V99">
        <v>11.0136415703547</v>
      </c>
      <c r="W99">
        <v>-4.8400539928828499</v>
      </c>
      <c r="X99">
        <v>11.5450886554046</v>
      </c>
      <c r="Y99">
        <v>10.9821070144458</v>
      </c>
      <c r="Z99">
        <v>-3.1813351430614101</v>
      </c>
      <c r="AA99">
        <v>7.4725225127978199</v>
      </c>
      <c r="AB99">
        <v>9.0406322829318704</v>
      </c>
    </row>
    <row r="100" spans="1:28" x14ac:dyDescent="0.25">
      <c r="A100">
        <v>99</v>
      </c>
      <c r="B100">
        <v>3113</v>
      </c>
      <c r="C100">
        <v>3</v>
      </c>
      <c r="D100">
        <v>2</v>
      </c>
      <c r="E100">
        <v>1.47918751666267</v>
      </c>
      <c r="F100">
        <v>3.0668639200433998</v>
      </c>
      <c r="G100">
        <v>4.9456682791827298</v>
      </c>
      <c r="H100">
        <v>0.87671241616858697</v>
      </c>
      <c r="I100">
        <v>4.3013019342384604</v>
      </c>
      <c r="J100">
        <v>6.4599468077307796</v>
      </c>
      <c r="K100">
        <v>-1.0289195101011099</v>
      </c>
      <c r="L100">
        <v>6.9897513715671504</v>
      </c>
      <c r="M100">
        <v>11.3669379269696</v>
      </c>
      <c r="N100">
        <v>-1.84923560171118</v>
      </c>
      <c r="O100">
        <v>8.04691049195098</v>
      </c>
      <c r="P100">
        <v>11.206383156292301</v>
      </c>
      <c r="Q100">
        <v>-0.90665440818473697</v>
      </c>
      <c r="R100">
        <v>6.9095384105232602</v>
      </c>
      <c r="S100">
        <v>7.0682283651548303</v>
      </c>
      <c r="T100">
        <v>-1.1639405654375901</v>
      </c>
      <c r="U100">
        <v>9.6919640391064696</v>
      </c>
      <c r="V100">
        <v>12.4810457958169</v>
      </c>
      <c r="W100">
        <v>-0.81867660479725102</v>
      </c>
      <c r="X100">
        <v>9.3711043952035702</v>
      </c>
      <c r="Y100">
        <v>12.443618998572999</v>
      </c>
      <c r="Z100">
        <v>1.1815729854392301</v>
      </c>
      <c r="AA100">
        <v>4.26796469456393</v>
      </c>
      <c r="AB100">
        <v>10.121759828695</v>
      </c>
    </row>
    <row r="101" spans="1:28" x14ac:dyDescent="0.25">
      <c r="A101">
        <v>100</v>
      </c>
      <c r="B101">
        <v>3114</v>
      </c>
      <c r="C101">
        <v>3</v>
      </c>
      <c r="D101">
        <v>2</v>
      </c>
      <c r="E101">
        <v>3.1641800476083102</v>
      </c>
      <c r="F101">
        <v>-4.30878841728242</v>
      </c>
      <c r="G101">
        <v>8.7639647349445795</v>
      </c>
      <c r="H101">
        <v>2.36841954430869</v>
      </c>
      <c r="I101">
        <v>-2.6267055384196798</v>
      </c>
      <c r="J101">
        <v>9.6114298852669808</v>
      </c>
      <c r="K101">
        <v>-2.35661620860559</v>
      </c>
      <c r="L101">
        <v>7.5000777781263102</v>
      </c>
      <c r="M101">
        <v>12.099048449460399</v>
      </c>
      <c r="N101">
        <v>-2.2106598641765101</v>
      </c>
      <c r="O101">
        <v>7.1102082803665496</v>
      </c>
      <c r="P101">
        <v>12.1718678099265</v>
      </c>
      <c r="Q101">
        <v>3.0850285514261802</v>
      </c>
      <c r="R101">
        <v>-3.1113846585516098</v>
      </c>
      <c r="S101">
        <v>9.96671921330503</v>
      </c>
      <c r="T101">
        <v>2.0313822922346301</v>
      </c>
      <c r="U101">
        <v>-0.51935855910212103</v>
      </c>
      <c r="V101">
        <v>14.819680178576601</v>
      </c>
      <c r="W101">
        <v>1.70830699413411</v>
      </c>
      <c r="X101">
        <v>0.15911617446511001</v>
      </c>
      <c r="Y101">
        <v>14.509141820355699</v>
      </c>
      <c r="Z101">
        <v>0.98203688769758402</v>
      </c>
      <c r="AA101">
        <v>-0.59186792531028298</v>
      </c>
      <c r="AB101">
        <v>11.7390976616436</v>
      </c>
    </row>
    <row r="102" spans="1:28" x14ac:dyDescent="0.25">
      <c r="A102">
        <v>101</v>
      </c>
      <c r="B102">
        <v>3123</v>
      </c>
      <c r="C102">
        <v>3</v>
      </c>
      <c r="D102">
        <v>2</v>
      </c>
      <c r="E102">
        <v>1.20344472422015</v>
      </c>
      <c r="F102">
        <v>2.4093727633603002</v>
      </c>
      <c r="G102">
        <v>6.9140197741802796</v>
      </c>
      <c r="H102">
        <v>0.64587592283399298</v>
      </c>
      <c r="I102">
        <v>3.6120789844376202</v>
      </c>
      <c r="J102">
        <v>8.6840789370105806</v>
      </c>
      <c r="K102">
        <v>-0.18254912054983799</v>
      </c>
      <c r="L102">
        <v>4.0759025647689402</v>
      </c>
      <c r="M102">
        <v>13.5900159885437</v>
      </c>
      <c r="N102">
        <v>-0.56078637232849005</v>
      </c>
      <c r="O102">
        <v>4.6442143224711803</v>
      </c>
      <c r="P102">
        <v>13.368880878483299</v>
      </c>
      <c r="Q102">
        <v>1.0495512133426499</v>
      </c>
      <c r="R102">
        <v>4.4441931733743401</v>
      </c>
      <c r="S102">
        <v>9.1054788157581203</v>
      </c>
      <c r="T102">
        <v>0.74573510607609905</v>
      </c>
      <c r="U102">
        <v>7.0827797850907803</v>
      </c>
      <c r="V102">
        <v>15.4499486138532</v>
      </c>
      <c r="W102">
        <v>0.53615102713101004</v>
      </c>
      <c r="X102">
        <v>7.50101873530883</v>
      </c>
      <c r="Y102">
        <v>15.2108017887402</v>
      </c>
      <c r="Z102">
        <v>0.414516362670456</v>
      </c>
      <c r="AA102">
        <v>6.47518459509247</v>
      </c>
      <c r="AB102">
        <v>10.3466265725172</v>
      </c>
    </row>
    <row r="103" spans="1:28" x14ac:dyDescent="0.25">
      <c r="A103">
        <v>102</v>
      </c>
      <c r="B103">
        <v>3128</v>
      </c>
      <c r="C103">
        <v>3</v>
      </c>
      <c r="D103">
        <v>2</v>
      </c>
      <c r="E103">
        <v>0.78810139330046203</v>
      </c>
      <c r="F103">
        <v>2.2194489999907399</v>
      </c>
      <c r="G103">
        <v>4.3152102975408599</v>
      </c>
      <c r="H103">
        <v>0.44073030611284503</v>
      </c>
      <c r="I103">
        <v>3.6314887243970899</v>
      </c>
      <c r="J103">
        <v>5.4688418096691498</v>
      </c>
      <c r="K103">
        <v>-8.0027067041809605E-2</v>
      </c>
      <c r="L103">
        <v>5.6755028413888198</v>
      </c>
      <c r="M103">
        <v>8.3051387846103708</v>
      </c>
      <c r="N103">
        <v>1.166314949212E-2</v>
      </c>
      <c r="O103">
        <v>5.4874943343969402</v>
      </c>
      <c r="P103">
        <v>8.31802934257483</v>
      </c>
      <c r="Q103">
        <v>1.02433194673179</v>
      </c>
      <c r="R103">
        <v>2.9058644554936</v>
      </c>
      <c r="S103">
        <v>5.5578696280230799</v>
      </c>
      <c r="T103">
        <v>-0.11253424119200001</v>
      </c>
      <c r="U103">
        <v>5.57187229253572</v>
      </c>
      <c r="V103">
        <v>12.3805949452499</v>
      </c>
      <c r="W103">
        <v>5.09046679009868E-2</v>
      </c>
      <c r="X103">
        <v>5.3090860649268699</v>
      </c>
      <c r="Y103">
        <v>12.4462213587836</v>
      </c>
      <c r="Z103">
        <v>0.79592510375818704</v>
      </c>
      <c r="AA103">
        <v>3.0672579910251501</v>
      </c>
      <c r="AB103">
        <v>9.4957625417906897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9B69-E40C-4C90-BB56-13F6246950A8}">
  <dimension ref="A1:AB104"/>
  <sheetViews>
    <sheetView zoomScaleNormal="100" workbookViewId="0">
      <selection activeCell="E2" sqref="E2"/>
    </sheetView>
  </sheetViews>
  <sheetFormatPr defaultRowHeight="15" x14ac:dyDescent="0.25"/>
  <cols>
    <col min="1" max="2" width="14.140625" customWidth="1"/>
    <col min="3" max="4" width="11.5703125" customWidth="1"/>
  </cols>
  <sheetData>
    <row r="1" spans="1:28" x14ac:dyDescent="0.25">
      <c r="E1" t="s">
        <v>0</v>
      </c>
      <c r="H1" t="s">
        <v>1</v>
      </c>
      <c r="K1" t="s">
        <v>2</v>
      </c>
      <c r="N1" t="s">
        <v>3</v>
      </c>
      <c r="Q1" t="s">
        <v>4</v>
      </c>
      <c r="T1" t="s">
        <v>5</v>
      </c>
      <c r="W1" t="s">
        <v>6</v>
      </c>
      <c r="Z1" t="s">
        <v>7</v>
      </c>
    </row>
    <row r="2" spans="1:28" x14ac:dyDescent="0.25">
      <c r="A2" t="s">
        <v>19</v>
      </c>
      <c r="B2" t="s">
        <v>21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17</v>
      </c>
      <c r="J2" t="s">
        <v>18</v>
      </c>
      <c r="K2" t="s">
        <v>16</v>
      </c>
      <c r="L2" t="s">
        <v>17</v>
      </c>
      <c r="M2" t="s">
        <v>18</v>
      </c>
      <c r="N2" t="s">
        <v>16</v>
      </c>
      <c r="O2" t="s">
        <v>17</v>
      </c>
      <c r="P2" t="s">
        <v>18</v>
      </c>
      <c r="Q2" t="s">
        <v>16</v>
      </c>
      <c r="R2" t="s">
        <v>17</v>
      </c>
      <c r="S2" t="s">
        <v>18</v>
      </c>
      <c r="T2" t="s">
        <v>16</v>
      </c>
      <c r="U2" t="s">
        <v>17</v>
      </c>
      <c r="V2" t="s">
        <v>18</v>
      </c>
      <c r="W2" t="s">
        <v>16</v>
      </c>
      <c r="X2" t="s">
        <v>17</v>
      </c>
      <c r="Y2" t="s">
        <v>18</v>
      </c>
      <c r="Z2" t="s">
        <v>16</v>
      </c>
      <c r="AA2" t="s">
        <v>17</v>
      </c>
      <c r="AB2" t="s">
        <v>18</v>
      </c>
    </row>
    <row r="3" spans="1:28" x14ac:dyDescent="0.25">
      <c r="A3">
        <v>1</v>
      </c>
      <c r="B3" s="1">
        <v>1002</v>
      </c>
      <c r="C3">
        <v>1</v>
      </c>
      <c r="D3">
        <v>1</v>
      </c>
      <c r="E3">
        <v>-5.6560479347341402E-2</v>
      </c>
      <c r="F3">
        <v>1.9014443218568</v>
      </c>
      <c r="G3">
        <v>1.54118124572893</v>
      </c>
      <c r="H3">
        <v>-0.38139947369162203</v>
      </c>
      <c r="I3">
        <v>2.3416801510301402</v>
      </c>
      <c r="J3">
        <v>2.2803408258564399</v>
      </c>
      <c r="K3">
        <v>-0.129801699798131</v>
      </c>
      <c r="L3">
        <v>2.9106500239712898</v>
      </c>
      <c r="M3">
        <v>3.7230141479043999</v>
      </c>
      <c r="N3">
        <v>-5.9272764863233997E-2</v>
      </c>
      <c r="O3">
        <v>2.80939504249949</v>
      </c>
      <c r="P3">
        <v>3.7320780309788999</v>
      </c>
      <c r="Q3">
        <v>-1.5916772848242899</v>
      </c>
      <c r="R3">
        <v>4.8561542833939004</v>
      </c>
      <c r="S3">
        <v>2.7260370576284898</v>
      </c>
      <c r="T3">
        <v>-6.2283880344479501</v>
      </c>
      <c r="U3">
        <v>16.4573718009195</v>
      </c>
      <c r="V3">
        <v>8.0543360024666999</v>
      </c>
      <c r="W3">
        <v>-6.3293365068534602</v>
      </c>
      <c r="X3">
        <v>16.598758045818201</v>
      </c>
      <c r="Y3">
        <v>8.0551509094649898</v>
      </c>
      <c r="Z3">
        <v>-2.9883639207021999</v>
      </c>
      <c r="AA3">
        <v>8.78153825398355</v>
      </c>
      <c r="AB3">
        <v>5.5214379769302599</v>
      </c>
    </row>
    <row r="4" spans="1:28" x14ac:dyDescent="0.25">
      <c r="A4">
        <v>2</v>
      </c>
      <c r="B4">
        <v>1004</v>
      </c>
      <c r="C4">
        <v>1</v>
      </c>
      <c r="D4">
        <v>1</v>
      </c>
      <c r="E4">
        <v>0.223383865799025</v>
      </c>
      <c r="F4">
        <v>3.7674649202322601</v>
      </c>
      <c r="G4">
        <v>2.1569964632776499</v>
      </c>
      <c r="H4">
        <v>0.91902772398727905</v>
      </c>
      <c r="I4">
        <v>3.00605154821951</v>
      </c>
      <c r="J4">
        <v>2.7454663631860199</v>
      </c>
      <c r="K4">
        <v>-0.21220573833249401</v>
      </c>
      <c r="L4">
        <v>5.4105824381563901</v>
      </c>
      <c r="M4">
        <v>4.4897447649645796</v>
      </c>
      <c r="N4">
        <v>-0.238541375632803</v>
      </c>
      <c r="O4">
        <v>5.4629823703463902</v>
      </c>
      <c r="P4">
        <v>4.4833880341013401</v>
      </c>
      <c r="Q4">
        <v>1.6936504478637999E-2</v>
      </c>
      <c r="R4">
        <v>4.4916730247980903</v>
      </c>
      <c r="S4">
        <v>3.56524024659136</v>
      </c>
      <c r="T4">
        <v>-0.93841547574205997</v>
      </c>
      <c r="U4">
        <v>4.69563385495983</v>
      </c>
      <c r="V4">
        <v>11.052103973187</v>
      </c>
      <c r="W4">
        <v>-1.01467765333988</v>
      </c>
      <c r="X4">
        <v>4.7847210317662503</v>
      </c>
      <c r="Y4">
        <v>11.077801308388899</v>
      </c>
      <c r="Z4">
        <v>-0.67657878908094005</v>
      </c>
      <c r="AA4">
        <v>3.9097482378050099</v>
      </c>
      <c r="AB4">
        <v>7.0167374759081902</v>
      </c>
    </row>
    <row r="5" spans="1:28" x14ac:dyDescent="0.25">
      <c r="A5">
        <v>3</v>
      </c>
      <c r="B5">
        <v>1007</v>
      </c>
      <c r="C5">
        <v>1</v>
      </c>
      <c r="D5">
        <v>1</v>
      </c>
      <c r="E5">
        <v>1.1878559953662899</v>
      </c>
      <c r="F5">
        <v>-0.93382055804432396</v>
      </c>
      <c r="G5">
        <v>3.67163363111111</v>
      </c>
      <c r="H5">
        <v>1.02160982324321</v>
      </c>
      <c r="I5">
        <v>-0.15599941521607399</v>
      </c>
      <c r="J5">
        <v>3.51615315340963</v>
      </c>
      <c r="K5">
        <v>2.6502609526652399</v>
      </c>
      <c r="L5">
        <v>-2.4591445766469899</v>
      </c>
      <c r="M5">
        <v>6.37449231093498</v>
      </c>
      <c r="N5">
        <v>2.5633044414662298</v>
      </c>
      <c r="O5">
        <v>-2.3046741790468399</v>
      </c>
      <c r="P5">
        <v>6.3256843205972499</v>
      </c>
      <c r="Q5">
        <v>1.23573693121935</v>
      </c>
      <c r="R5">
        <v>0.173457967756213</v>
      </c>
      <c r="S5">
        <v>4.59122455007018</v>
      </c>
      <c r="T5">
        <v>-1.1393476165893601E-2</v>
      </c>
      <c r="U5">
        <v>6.5420558632289199</v>
      </c>
      <c r="V5">
        <v>10.681960978556701</v>
      </c>
      <c r="W5">
        <v>0.33712737911193202</v>
      </c>
      <c r="X5">
        <v>5.9401113333767599</v>
      </c>
      <c r="Y5">
        <v>10.729819427578899</v>
      </c>
      <c r="Z5">
        <v>0.644081435355779</v>
      </c>
      <c r="AA5">
        <v>3.36516542821616</v>
      </c>
      <c r="AB5">
        <v>7.3008459352987201</v>
      </c>
    </row>
    <row r="6" spans="1:28" x14ac:dyDescent="0.25">
      <c r="A6">
        <v>4</v>
      </c>
      <c r="B6">
        <v>1009</v>
      </c>
      <c r="C6">
        <v>1</v>
      </c>
      <c r="D6">
        <v>1</v>
      </c>
      <c r="E6">
        <v>-0.48104122720804698</v>
      </c>
      <c r="F6">
        <v>2.6731035896507001</v>
      </c>
      <c r="G6">
        <v>1.92615099854065</v>
      </c>
      <c r="H6">
        <v>-0.49980185391593801</v>
      </c>
      <c r="I6">
        <v>2.9806969833612298</v>
      </c>
      <c r="J6">
        <v>2.3099007142640402</v>
      </c>
      <c r="K6">
        <v>7.9427333228435398E-2</v>
      </c>
      <c r="L6">
        <v>3.4926345346647798</v>
      </c>
      <c r="M6">
        <v>4.2919485055446502</v>
      </c>
      <c r="N6">
        <v>1.5274024828941701E-2</v>
      </c>
      <c r="O6">
        <v>3.54443306985995</v>
      </c>
      <c r="P6">
        <v>4.25386855508801</v>
      </c>
      <c r="Q6">
        <v>-0.13218609649399499</v>
      </c>
      <c r="R6">
        <v>3.2772513444434201</v>
      </c>
      <c r="S6">
        <v>2.9652177953041501</v>
      </c>
      <c r="T6">
        <v>-3.6408331908333</v>
      </c>
      <c r="U6">
        <v>11.0918772008659</v>
      </c>
      <c r="V6">
        <v>7.3051853860664098</v>
      </c>
      <c r="W6">
        <v>-3.62218853674882</v>
      </c>
      <c r="X6">
        <v>10.9341439596316</v>
      </c>
      <c r="Y6">
        <v>7.4031057434176404</v>
      </c>
      <c r="Z6">
        <v>-1.7717369946461501</v>
      </c>
      <c r="AA6">
        <v>5.7730278100710901</v>
      </c>
      <c r="AB6">
        <v>5.1898529374261804</v>
      </c>
    </row>
    <row r="7" spans="1:28" x14ac:dyDescent="0.25">
      <c r="A7">
        <v>5</v>
      </c>
      <c r="B7">
        <v>1010</v>
      </c>
      <c r="C7">
        <v>1</v>
      </c>
      <c r="D7">
        <v>1</v>
      </c>
      <c r="E7">
        <v>-0.13994166628340901</v>
      </c>
      <c r="F7">
        <v>2.01897583865791</v>
      </c>
      <c r="G7">
        <v>2.0930410254154399</v>
      </c>
      <c r="H7">
        <v>-0.40935296787258102</v>
      </c>
      <c r="I7">
        <v>2.5511765447652901</v>
      </c>
      <c r="J7">
        <v>2.8620876407126898</v>
      </c>
      <c r="K7">
        <v>-0.53310491840256402</v>
      </c>
      <c r="L7">
        <v>3.8300378090957299</v>
      </c>
      <c r="M7">
        <v>4.2728344248791599</v>
      </c>
      <c r="N7">
        <v>-0.454966294497751</v>
      </c>
      <c r="O7">
        <v>3.78499174390861</v>
      </c>
      <c r="P7">
        <v>4.2683413541462603</v>
      </c>
      <c r="Q7">
        <v>-0.28436305030857201</v>
      </c>
      <c r="R7">
        <v>3.03770149954142</v>
      </c>
      <c r="S7">
        <v>3.3912293395103301</v>
      </c>
      <c r="T7">
        <v>-2.6819024629552199</v>
      </c>
      <c r="U7">
        <v>9.5653436965690304</v>
      </c>
      <c r="V7">
        <v>10.506220224316399</v>
      </c>
      <c r="W7">
        <v>-2.7947353805417099</v>
      </c>
      <c r="X7">
        <v>9.5816109822090798</v>
      </c>
      <c r="Y7">
        <v>10.4903949105954</v>
      </c>
      <c r="Z7">
        <v>-3.0299354249334098</v>
      </c>
      <c r="AA7">
        <v>8.8084040312712606</v>
      </c>
      <c r="AB7">
        <v>6.7040641208994201</v>
      </c>
    </row>
    <row r="8" spans="1:28" x14ac:dyDescent="0.25">
      <c r="A8">
        <v>6</v>
      </c>
      <c r="B8">
        <v>1011</v>
      </c>
      <c r="C8">
        <v>1</v>
      </c>
      <c r="D8">
        <v>1</v>
      </c>
      <c r="E8">
        <v>-0.25648944598476098</v>
      </c>
      <c r="F8">
        <v>2.06039043008523</v>
      </c>
      <c r="G8">
        <v>1.40541091115383</v>
      </c>
      <c r="H8">
        <v>-2.4587129398930901E-2</v>
      </c>
      <c r="I8">
        <v>1.6942714053869901</v>
      </c>
      <c r="J8">
        <v>2.4723303776291199</v>
      </c>
      <c r="K8">
        <v>0.14684052907981801</v>
      </c>
      <c r="L8">
        <v>2.53057895256496</v>
      </c>
      <c r="M8">
        <v>3.55730953579081</v>
      </c>
      <c r="N8">
        <v>0.119972288460637</v>
      </c>
      <c r="O8">
        <v>2.4939016310161599</v>
      </c>
      <c r="P8">
        <v>3.5685570833168101</v>
      </c>
      <c r="Q8">
        <v>-0.97973209448656695</v>
      </c>
      <c r="R8">
        <v>3.6615870344877099</v>
      </c>
      <c r="S8">
        <v>2.7436142057517601</v>
      </c>
      <c r="T8">
        <v>-1.5752644522618999</v>
      </c>
      <c r="U8">
        <v>4.9999470418272303</v>
      </c>
      <c r="V8">
        <v>12.766255324317701</v>
      </c>
      <c r="W8">
        <v>-1.63350177918406</v>
      </c>
      <c r="X8">
        <v>5.1297235327033501</v>
      </c>
      <c r="Y8">
        <v>12.7575783227635</v>
      </c>
      <c r="Z8">
        <v>2.0936968191365202E-2</v>
      </c>
      <c r="AA8">
        <v>2.2481850525430298</v>
      </c>
      <c r="AB8">
        <v>8.7357736957760803</v>
      </c>
    </row>
    <row r="9" spans="1:28" x14ac:dyDescent="0.25">
      <c r="A9">
        <v>7</v>
      </c>
      <c r="B9">
        <v>1012</v>
      </c>
      <c r="C9">
        <v>1</v>
      </c>
      <c r="D9">
        <v>1</v>
      </c>
      <c r="E9">
        <v>-0.29799290579522197</v>
      </c>
      <c r="F9">
        <v>3.0103914548613102</v>
      </c>
      <c r="G9">
        <v>5.5306311075391799</v>
      </c>
      <c r="H9">
        <v>5.3087857022072998E-2</v>
      </c>
      <c r="I9">
        <v>3.0758260658422101</v>
      </c>
      <c r="J9">
        <v>5.8498626686896698</v>
      </c>
      <c r="K9">
        <v>-0.34050866253456302</v>
      </c>
      <c r="L9">
        <v>3.1785683637068098</v>
      </c>
      <c r="M9">
        <v>8.6600562583367395</v>
      </c>
      <c r="N9">
        <v>-0.37670300936119799</v>
      </c>
      <c r="O9">
        <v>3.2522041161106001</v>
      </c>
      <c r="P9">
        <v>8.6470836736712293</v>
      </c>
      <c r="Q9">
        <v>-0.14914341552479399</v>
      </c>
      <c r="R9">
        <v>3.20595119259352</v>
      </c>
      <c r="S9">
        <v>6.8036918899804402</v>
      </c>
      <c r="T9">
        <v>-1.75399072606946</v>
      </c>
      <c r="U9">
        <v>8.81530879951179</v>
      </c>
      <c r="V9">
        <v>9.6504507331493503</v>
      </c>
      <c r="W9">
        <v>-1.67179100201946</v>
      </c>
      <c r="X9">
        <v>8.6923758512169194</v>
      </c>
      <c r="Y9">
        <v>9.6496427185426406</v>
      </c>
      <c r="Z9">
        <v>-0.155328223068498</v>
      </c>
      <c r="AA9">
        <v>5.1919047313193198</v>
      </c>
      <c r="AB9">
        <v>6.8298892005191201</v>
      </c>
    </row>
    <row r="10" spans="1:28" x14ac:dyDescent="0.25">
      <c r="A10">
        <v>8</v>
      </c>
      <c r="B10">
        <v>1013</v>
      </c>
      <c r="C10">
        <v>1</v>
      </c>
      <c r="D10">
        <v>1</v>
      </c>
      <c r="E10">
        <v>1.09536258092057</v>
      </c>
      <c r="F10">
        <v>2.63039370544266</v>
      </c>
      <c r="G10">
        <v>1.8735902634136301</v>
      </c>
      <c r="H10">
        <v>1.6696236150672701</v>
      </c>
      <c r="I10">
        <v>1.75904507936868</v>
      </c>
      <c r="J10">
        <v>2.2978751468779701</v>
      </c>
      <c r="K10">
        <v>-0.43700030106452997</v>
      </c>
      <c r="L10">
        <v>5.4826831078259604</v>
      </c>
      <c r="M10">
        <v>4.0635829130229997</v>
      </c>
      <c r="N10">
        <v>-0.36375288303272701</v>
      </c>
      <c r="O10">
        <v>5.3413306099348903</v>
      </c>
      <c r="P10">
        <v>4.0974889149182996</v>
      </c>
      <c r="Q10">
        <v>0.69916786775114304</v>
      </c>
      <c r="R10">
        <v>3.5205975584781202</v>
      </c>
      <c r="S10">
        <v>2.9924648369962399</v>
      </c>
      <c r="T10">
        <v>-1.11560718960214</v>
      </c>
      <c r="U10">
        <v>7.3926395245899101</v>
      </c>
      <c r="V10">
        <v>8.8514336524205603</v>
      </c>
      <c r="W10">
        <v>-1.3343580480742301</v>
      </c>
      <c r="X10">
        <v>7.7655890149835196</v>
      </c>
      <c r="Y10">
        <v>8.6991705003843691</v>
      </c>
      <c r="Z10">
        <v>-0.37919259230165803</v>
      </c>
      <c r="AA10">
        <v>5.1382826613497503</v>
      </c>
      <c r="AB10">
        <v>6.4037416729545402</v>
      </c>
    </row>
    <row r="11" spans="1:28" x14ac:dyDescent="0.25">
      <c r="A11">
        <v>9</v>
      </c>
      <c r="B11">
        <v>1017</v>
      </c>
      <c r="C11">
        <v>1</v>
      </c>
      <c r="D11">
        <v>1</v>
      </c>
      <c r="E11">
        <v>5.7186913629025997E-2</v>
      </c>
      <c r="F11">
        <v>1.4977273798225099</v>
      </c>
      <c r="G11">
        <v>2.7431090133371998</v>
      </c>
      <c r="H11">
        <v>-0.49081048643770703</v>
      </c>
      <c r="I11">
        <v>2.5186529654765701</v>
      </c>
      <c r="J11">
        <v>3.0235604036332</v>
      </c>
      <c r="K11">
        <v>-1.8171562714961401E-2</v>
      </c>
      <c r="L11">
        <v>3.4564710458074499</v>
      </c>
      <c r="M11">
        <v>4.76614913513614</v>
      </c>
      <c r="N11">
        <v>0.12699453558309201</v>
      </c>
      <c r="O11">
        <v>3.1563422167467601</v>
      </c>
      <c r="P11">
        <v>4.73504235165559</v>
      </c>
      <c r="Q11">
        <v>-0.286584264618852</v>
      </c>
      <c r="R11">
        <v>2.5386281031139699</v>
      </c>
      <c r="S11">
        <v>3.8573057554518502</v>
      </c>
      <c r="T11">
        <v>-1.7939967487517701</v>
      </c>
      <c r="U11">
        <v>7.7637214466922799</v>
      </c>
      <c r="V11">
        <v>7.6194321497454602</v>
      </c>
      <c r="W11">
        <v>-1.90421830872639</v>
      </c>
      <c r="X11">
        <v>7.93106654543943</v>
      </c>
      <c r="Y11">
        <v>7.5774605127796502</v>
      </c>
      <c r="Z11">
        <v>-1.8067064793666401</v>
      </c>
      <c r="AA11">
        <v>5.8113822865628899</v>
      </c>
      <c r="AB11">
        <v>4.9025255910983701</v>
      </c>
    </row>
    <row r="12" spans="1:28" x14ac:dyDescent="0.25">
      <c r="A12">
        <v>10</v>
      </c>
      <c r="B12">
        <v>1018</v>
      </c>
      <c r="C12">
        <v>1</v>
      </c>
      <c r="D12">
        <v>1</v>
      </c>
      <c r="E12">
        <v>-0.55786280492767004</v>
      </c>
      <c r="F12">
        <v>2.3154808364604</v>
      </c>
      <c r="G12">
        <v>2.3691889285104599</v>
      </c>
      <c r="H12">
        <v>-1.5488107331797301</v>
      </c>
      <c r="I12">
        <v>4.10408205905662</v>
      </c>
      <c r="J12">
        <v>2.8969472256690798</v>
      </c>
      <c r="K12">
        <v>-0.85669085611198503</v>
      </c>
      <c r="L12">
        <v>3.6140606097540999</v>
      </c>
      <c r="M12">
        <v>4.7166737304792097</v>
      </c>
      <c r="N12">
        <v>-0.84467413841682704</v>
      </c>
      <c r="O12">
        <v>3.62085479782175</v>
      </c>
      <c r="P12">
        <v>4.7135767523161398</v>
      </c>
      <c r="Q12">
        <v>-1.91332425696998</v>
      </c>
      <c r="R12">
        <v>5.5109842016855399</v>
      </c>
      <c r="S12">
        <v>3.3644871501583902</v>
      </c>
      <c r="T12">
        <v>-5.5584987480567198</v>
      </c>
      <c r="U12">
        <v>14.5015273215002</v>
      </c>
      <c r="V12">
        <v>10.097230408618101</v>
      </c>
      <c r="W12">
        <v>-5.69228037792743</v>
      </c>
      <c r="X12">
        <v>14.6313657374644</v>
      </c>
      <c r="Y12">
        <v>10.0611692029771</v>
      </c>
      <c r="Z12">
        <v>-4.5726195483369496</v>
      </c>
      <c r="AA12">
        <v>10.0468342097658</v>
      </c>
      <c r="AB12">
        <v>7.9125149790517604</v>
      </c>
    </row>
    <row r="13" spans="1:28" x14ac:dyDescent="0.25">
      <c r="A13">
        <v>11</v>
      </c>
      <c r="B13">
        <v>1019</v>
      </c>
      <c r="C13">
        <v>1</v>
      </c>
      <c r="D13">
        <v>1</v>
      </c>
      <c r="E13">
        <v>0.31011237755669302</v>
      </c>
      <c r="F13">
        <v>1.0337461568228701</v>
      </c>
      <c r="G13">
        <v>3.4930479096364802</v>
      </c>
      <c r="H13">
        <v>-2.0539307759782601E-2</v>
      </c>
      <c r="I13">
        <v>1.8954865987538001</v>
      </c>
      <c r="J13">
        <v>3.6840041675156798</v>
      </c>
      <c r="K13">
        <v>1.3814647331929499</v>
      </c>
      <c r="L13">
        <v>1.0234735158074999</v>
      </c>
      <c r="M13">
        <v>6.4978790515248601</v>
      </c>
      <c r="N13">
        <v>1.38311590293418</v>
      </c>
      <c r="O13">
        <v>1.0083407486290601</v>
      </c>
      <c r="P13">
        <v>6.52173873511276</v>
      </c>
      <c r="Q13">
        <v>-0.51162689395078798</v>
      </c>
      <c r="R13">
        <v>3.2918445643666101</v>
      </c>
      <c r="S13">
        <v>4.4377238994455404</v>
      </c>
      <c r="T13">
        <v>-2.77917341619791</v>
      </c>
      <c r="U13">
        <v>11.782764130443701</v>
      </c>
      <c r="V13">
        <v>9.1614265126566696</v>
      </c>
      <c r="W13">
        <v>-2.9521246729376398</v>
      </c>
      <c r="X13">
        <v>11.9343545786394</v>
      </c>
      <c r="Y13">
        <v>9.1697208591730099</v>
      </c>
      <c r="Z13">
        <v>-1.48667810139658</v>
      </c>
      <c r="AA13">
        <v>6.5515460766622997</v>
      </c>
      <c r="AB13">
        <v>6.7202869670885503</v>
      </c>
    </row>
    <row r="14" spans="1:28" x14ac:dyDescent="0.25">
      <c r="A14">
        <v>12</v>
      </c>
      <c r="B14">
        <v>1020</v>
      </c>
      <c r="C14">
        <v>1</v>
      </c>
      <c r="D14">
        <v>1</v>
      </c>
      <c r="E14">
        <v>-0.57979908461823204</v>
      </c>
      <c r="F14">
        <v>2.4983438493020498</v>
      </c>
      <c r="G14">
        <v>2.1798580547961102</v>
      </c>
      <c r="H14">
        <v>-0.696600889254537</v>
      </c>
      <c r="I14">
        <v>2.8501376888093901</v>
      </c>
      <c r="J14">
        <v>2.5508009488475198</v>
      </c>
      <c r="K14">
        <v>-0.44683966466379899</v>
      </c>
      <c r="L14">
        <v>3.8438021766351098</v>
      </c>
      <c r="M14">
        <v>4.1558389443769803</v>
      </c>
      <c r="N14">
        <v>-0.75281253111686397</v>
      </c>
      <c r="O14">
        <v>4.1817829809584204</v>
      </c>
      <c r="P14">
        <v>4.1043061875658298</v>
      </c>
      <c r="Q14">
        <v>-0.72846704707169396</v>
      </c>
      <c r="R14">
        <v>3.2573964043794801</v>
      </c>
      <c r="S14">
        <v>3.2189455130806199</v>
      </c>
      <c r="T14">
        <v>-0.59296009259222204</v>
      </c>
      <c r="U14">
        <v>5.51174465213104</v>
      </c>
      <c r="V14">
        <v>9.0502498500141595</v>
      </c>
      <c r="W14">
        <v>-0.77007710257152395</v>
      </c>
      <c r="X14">
        <v>5.7739550096881196</v>
      </c>
      <c r="Y14">
        <v>8.9916621292718606</v>
      </c>
      <c r="Z14">
        <v>-0.99381591175161799</v>
      </c>
      <c r="AA14">
        <v>5.0474093650564997</v>
      </c>
      <c r="AB14">
        <v>5.7534626012301802</v>
      </c>
    </row>
    <row r="15" spans="1:28" x14ac:dyDescent="0.25">
      <c r="A15">
        <v>13</v>
      </c>
      <c r="B15">
        <v>1022</v>
      </c>
      <c r="C15">
        <v>1</v>
      </c>
      <c r="D15">
        <v>1</v>
      </c>
      <c r="E15">
        <v>-1.0654566546344799</v>
      </c>
      <c r="F15">
        <v>2.75841506485399</v>
      </c>
      <c r="G15">
        <v>3.6120989932668301</v>
      </c>
      <c r="H15">
        <v>-0.885044856811809</v>
      </c>
      <c r="I15">
        <v>2.6132916031249001</v>
      </c>
      <c r="J15">
        <v>4.1420437037882802</v>
      </c>
      <c r="K15">
        <v>-1.6884029162760199</v>
      </c>
      <c r="L15">
        <v>5.1281519200155996</v>
      </c>
      <c r="M15">
        <v>6.25376766347844</v>
      </c>
      <c r="N15">
        <v>-1.24357306111864</v>
      </c>
      <c r="O15">
        <v>4.3824425901852004</v>
      </c>
      <c r="P15">
        <v>6.3484799514325898</v>
      </c>
      <c r="Q15">
        <v>-1.4814472267793399</v>
      </c>
      <c r="R15">
        <v>3.9712445495994402</v>
      </c>
      <c r="S15">
        <v>5.0189007952141402</v>
      </c>
      <c r="T15">
        <v>-1.31404086894454</v>
      </c>
      <c r="U15">
        <v>6.0587491359463801</v>
      </c>
      <c r="V15">
        <v>9.0524073938179903</v>
      </c>
      <c r="W15">
        <v>-1.2511483054110599</v>
      </c>
      <c r="X15">
        <v>5.9354023015375601</v>
      </c>
      <c r="Y15">
        <v>9.1446337950956895</v>
      </c>
      <c r="Z15">
        <v>-1.6498222669927201</v>
      </c>
      <c r="AA15">
        <v>4.81377698816934</v>
      </c>
      <c r="AB15">
        <v>5.9869609972819102</v>
      </c>
    </row>
    <row r="16" spans="1:28" x14ac:dyDescent="0.25">
      <c r="A16">
        <v>14</v>
      </c>
      <c r="B16">
        <v>1024</v>
      </c>
      <c r="C16">
        <v>1</v>
      </c>
      <c r="D16">
        <v>1</v>
      </c>
      <c r="E16">
        <v>-0.20862325398005899</v>
      </c>
      <c r="F16">
        <v>2.48716040276196</v>
      </c>
      <c r="G16">
        <v>3.0967563685169601</v>
      </c>
      <c r="H16">
        <v>-0.41811754248218003</v>
      </c>
      <c r="I16">
        <v>2.77653804341197</v>
      </c>
      <c r="J16">
        <v>4.15370178737634</v>
      </c>
      <c r="K16">
        <v>-0.25141109614819002</v>
      </c>
      <c r="L16">
        <v>4.3338538954832897</v>
      </c>
      <c r="M16">
        <v>5.6956556707495398</v>
      </c>
      <c r="N16">
        <v>-0.224322764436377</v>
      </c>
      <c r="O16">
        <v>4.2528174635069096</v>
      </c>
      <c r="P16">
        <v>5.69652292886434</v>
      </c>
      <c r="Q16">
        <v>-0.15093868096434801</v>
      </c>
      <c r="R16">
        <v>3.5507439451588301</v>
      </c>
      <c r="S16">
        <v>4.5518859931183204</v>
      </c>
      <c r="T16">
        <v>-2.77829056225398</v>
      </c>
      <c r="U16">
        <v>9.4093461929963595</v>
      </c>
      <c r="V16">
        <v>14.2209540038341</v>
      </c>
      <c r="W16">
        <v>-2.69342066145341</v>
      </c>
      <c r="X16">
        <v>9.2578011899407198</v>
      </c>
      <c r="Y16">
        <v>14.2942772101493</v>
      </c>
      <c r="Z16">
        <v>-3.4843933612390598</v>
      </c>
      <c r="AA16">
        <v>8.0277075403847693</v>
      </c>
      <c r="AB16">
        <v>10.0021207227277</v>
      </c>
    </row>
    <row r="17" spans="1:28" x14ac:dyDescent="0.25">
      <c r="A17">
        <v>15</v>
      </c>
      <c r="B17">
        <v>1026</v>
      </c>
      <c r="C17">
        <v>1</v>
      </c>
      <c r="D17">
        <v>1</v>
      </c>
      <c r="E17">
        <v>-0.11565238454486999</v>
      </c>
      <c r="F17">
        <v>1.2888730888782101</v>
      </c>
      <c r="G17">
        <v>1.6131335303746099</v>
      </c>
      <c r="H17">
        <v>-0.61735240351361498</v>
      </c>
      <c r="I17">
        <v>2.1891632323340602</v>
      </c>
      <c r="J17">
        <v>2.3282023715545601</v>
      </c>
      <c r="K17">
        <v>5.4927983189853501E-2</v>
      </c>
      <c r="L17">
        <v>1.96608856984686</v>
      </c>
      <c r="M17">
        <v>3.80981767677505</v>
      </c>
      <c r="N17">
        <v>9.9708441147251803E-2</v>
      </c>
      <c r="O17">
        <v>1.87404317602585</v>
      </c>
      <c r="P17">
        <v>3.8142192535660899</v>
      </c>
      <c r="Q17">
        <v>-2.9741434982117801E-2</v>
      </c>
      <c r="R17">
        <v>1.9586811007693099</v>
      </c>
      <c r="S17">
        <v>3.03040912339099</v>
      </c>
      <c r="T17">
        <v>-3.8220464725356398</v>
      </c>
      <c r="U17">
        <v>11.09544272098</v>
      </c>
      <c r="V17">
        <v>10.235410010331201</v>
      </c>
      <c r="W17">
        <v>-4.14768597731406</v>
      </c>
      <c r="X17">
        <v>11.3916309185053</v>
      </c>
      <c r="Y17">
        <v>10.2363457956926</v>
      </c>
      <c r="Z17">
        <v>-3.7578898359966599</v>
      </c>
      <c r="AA17">
        <v>9.4160406717990295</v>
      </c>
      <c r="AB17">
        <v>7.1389251949601702</v>
      </c>
    </row>
    <row r="18" spans="1:28" x14ac:dyDescent="0.25">
      <c r="A18">
        <v>16</v>
      </c>
      <c r="B18">
        <v>1027</v>
      </c>
      <c r="C18">
        <v>1</v>
      </c>
      <c r="D18">
        <v>1</v>
      </c>
      <c r="E18">
        <v>0.95094641713375005</v>
      </c>
      <c r="F18">
        <v>1.6432122867135499</v>
      </c>
      <c r="G18">
        <v>2.3032664312462598</v>
      </c>
      <c r="H18">
        <v>1.6090210227088599</v>
      </c>
      <c r="I18">
        <v>1.25163917713043</v>
      </c>
      <c r="J18">
        <v>3.0394208437299999</v>
      </c>
      <c r="K18">
        <v>0.379350327559133</v>
      </c>
      <c r="L18">
        <v>3.5358402500749602</v>
      </c>
      <c r="M18">
        <v>4.7214781884761603</v>
      </c>
      <c r="N18">
        <v>0.32314490386884598</v>
      </c>
      <c r="O18">
        <v>3.63433944646337</v>
      </c>
      <c r="P18">
        <v>4.6881931947571598</v>
      </c>
      <c r="Q18">
        <v>1.18799388914848</v>
      </c>
      <c r="R18">
        <v>1.8510821802684601</v>
      </c>
      <c r="S18">
        <v>3.90598936907675</v>
      </c>
      <c r="T18">
        <v>0.81643810788499505</v>
      </c>
      <c r="U18">
        <v>2.7020657285238299</v>
      </c>
      <c r="V18">
        <v>11.713685876332899</v>
      </c>
      <c r="W18">
        <v>0.80254167056637005</v>
      </c>
      <c r="X18">
        <v>2.7438921015619901</v>
      </c>
      <c r="Y18">
        <v>11.712819638974</v>
      </c>
      <c r="Z18">
        <v>0.44145128281533602</v>
      </c>
      <c r="AA18">
        <v>2.7937716103000101</v>
      </c>
      <c r="AB18">
        <v>7.6198671280501404</v>
      </c>
    </row>
    <row r="19" spans="1:28" x14ac:dyDescent="0.25">
      <c r="A19">
        <v>17</v>
      </c>
      <c r="B19">
        <v>1029</v>
      </c>
      <c r="C19">
        <v>1</v>
      </c>
      <c r="D19">
        <v>1</v>
      </c>
      <c r="E19">
        <v>0.46344697500930698</v>
      </c>
      <c r="F19">
        <v>1.3347121675192299</v>
      </c>
      <c r="G19">
        <v>3.7021205633892502</v>
      </c>
      <c r="H19">
        <v>-0.32605983525934401</v>
      </c>
      <c r="I19">
        <v>3.2361256195955699</v>
      </c>
      <c r="J19">
        <v>4.3886288921892902</v>
      </c>
      <c r="K19">
        <v>0.25981721840513</v>
      </c>
      <c r="L19">
        <v>3.1949037314380999</v>
      </c>
      <c r="M19">
        <v>7.5180559824404796</v>
      </c>
      <c r="N19">
        <v>0.45533121052046699</v>
      </c>
      <c r="O19">
        <v>2.9367841501437901</v>
      </c>
      <c r="P19">
        <v>7.5746141049513804</v>
      </c>
      <c r="Q19">
        <v>-0.30955129015400701</v>
      </c>
      <c r="R19">
        <v>3.5261674022638601</v>
      </c>
      <c r="S19">
        <v>5.5190090606176598</v>
      </c>
      <c r="T19">
        <v>-1.2482852465068299</v>
      </c>
      <c r="U19">
        <v>7.6355285573681098</v>
      </c>
      <c r="V19">
        <v>11.5677722273256</v>
      </c>
      <c r="W19">
        <v>-1.4875441637862199</v>
      </c>
      <c r="X19">
        <v>7.9760154682318198</v>
      </c>
      <c r="Y19">
        <v>11.5463545068505</v>
      </c>
      <c r="Z19">
        <v>-0.37284062776773402</v>
      </c>
      <c r="AA19">
        <v>4.2256681850261</v>
      </c>
      <c r="AB19">
        <v>8.2554071619768195</v>
      </c>
    </row>
    <row r="20" spans="1:28" x14ac:dyDescent="0.25">
      <c r="A20">
        <v>18</v>
      </c>
      <c r="B20">
        <v>1030</v>
      </c>
      <c r="C20">
        <v>1</v>
      </c>
      <c r="D20">
        <v>1</v>
      </c>
      <c r="E20">
        <v>-1.3402111895480899</v>
      </c>
      <c r="F20">
        <v>3.2633576218509801</v>
      </c>
      <c r="G20">
        <v>3.0816874295238299</v>
      </c>
      <c r="H20">
        <v>-2.0132970199512998</v>
      </c>
      <c r="I20">
        <v>4.57171483817715</v>
      </c>
      <c r="J20">
        <v>3.3031274979056402</v>
      </c>
      <c r="K20">
        <v>-1.9299150984054201</v>
      </c>
      <c r="L20">
        <v>5.0407977950311302</v>
      </c>
      <c r="M20">
        <v>5.7309999569903702</v>
      </c>
      <c r="N20">
        <v>-1.9296735875606901</v>
      </c>
      <c r="O20">
        <v>5.0470017781721204</v>
      </c>
      <c r="P20">
        <v>5.7296621236941698</v>
      </c>
      <c r="Q20">
        <v>-1.45934179930797</v>
      </c>
      <c r="R20">
        <v>3.9758364115906799</v>
      </c>
      <c r="S20">
        <v>4.5337279865693896</v>
      </c>
      <c r="T20">
        <v>0.153926238133132</v>
      </c>
      <c r="U20">
        <v>4.6592422744911399</v>
      </c>
      <c r="V20">
        <v>9.2052245859988702</v>
      </c>
      <c r="W20">
        <v>1.5660129718098499E-2</v>
      </c>
      <c r="X20">
        <v>4.7612727887058703</v>
      </c>
      <c r="Y20">
        <v>9.2083704535395992</v>
      </c>
      <c r="Z20">
        <v>-2.3693645375391901</v>
      </c>
      <c r="AA20">
        <v>6.6337161106593401</v>
      </c>
      <c r="AB20">
        <v>5.4547906871748699</v>
      </c>
    </row>
    <row r="21" spans="1:28" x14ac:dyDescent="0.25">
      <c r="A21">
        <v>19</v>
      </c>
      <c r="B21">
        <v>1031</v>
      </c>
      <c r="C21">
        <v>1</v>
      </c>
      <c r="D21">
        <v>1</v>
      </c>
      <c r="E21">
        <v>-0.245303335919274</v>
      </c>
      <c r="F21">
        <v>1.21865367528377</v>
      </c>
      <c r="G21">
        <v>3.2895100515125502</v>
      </c>
      <c r="H21">
        <v>-0.29109149092758202</v>
      </c>
      <c r="I21">
        <v>1.93841038190254</v>
      </c>
      <c r="J21">
        <v>3.4995759038425902</v>
      </c>
      <c r="K21">
        <v>-0.80083376683745899</v>
      </c>
      <c r="L21">
        <v>3.9783434898513201</v>
      </c>
      <c r="M21">
        <v>6.2223362386246697</v>
      </c>
      <c r="N21">
        <v>-1.1022004840225701</v>
      </c>
      <c r="O21">
        <v>4.3935253270909502</v>
      </c>
      <c r="P21">
        <v>6.2401376809370603</v>
      </c>
      <c r="Q21">
        <v>-0.92982510556323195</v>
      </c>
      <c r="R21">
        <v>2.9564730346101298</v>
      </c>
      <c r="S21">
        <v>4.5033004071354998</v>
      </c>
      <c r="T21">
        <v>-2.6084446591267199</v>
      </c>
      <c r="U21">
        <v>10.944814044573899</v>
      </c>
      <c r="V21">
        <v>9.2701456408655307</v>
      </c>
      <c r="W21">
        <v>-2.5661668584460702</v>
      </c>
      <c r="X21">
        <v>10.7925744014152</v>
      </c>
      <c r="Y21">
        <v>9.3107263501406496</v>
      </c>
      <c r="Z21">
        <v>-0.14407196042324899</v>
      </c>
      <c r="AA21">
        <v>4.5611200734111303</v>
      </c>
      <c r="AB21">
        <v>6.1915408793209998</v>
      </c>
    </row>
    <row r="22" spans="1:28" x14ac:dyDescent="0.25">
      <c r="A22">
        <v>20</v>
      </c>
      <c r="B22">
        <v>1032</v>
      </c>
      <c r="C22">
        <v>1</v>
      </c>
      <c r="D22">
        <v>1</v>
      </c>
      <c r="E22">
        <v>-6.1263337096479402E-2</v>
      </c>
      <c r="F22">
        <v>1.25201433554662</v>
      </c>
      <c r="G22">
        <v>2.3454478934539602</v>
      </c>
      <c r="H22">
        <v>-0.22853755034019099</v>
      </c>
      <c r="I22">
        <v>1.81690011271888</v>
      </c>
      <c r="J22">
        <v>2.7255116001614601</v>
      </c>
      <c r="K22">
        <v>-0.38486330381686201</v>
      </c>
      <c r="L22">
        <v>3.2521669762595402</v>
      </c>
      <c r="M22">
        <v>4.2374855077467002</v>
      </c>
      <c r="N22">
        <v>-3.5084929401868803E-2</v>
      </c>
      <c r="O22">
        <v>2.73930957457226</v>
      </c>
      <c r="P22">
        <v>4.2566096321573896</v>
      </c>
      <c r="Q22">
        <v>-0.91298903139256404</v>
      </c>
      <c r="R22">
        <v>3.47927582968134</v>
      </c>
      <c r="S22">
        <v>3.1733761523482</v>
      </c>
      <c r="T22">
        <v>-2.0108172275995502</v>
      </c>
      <c r="U22">
        <v>9.3784948310742404</v>
      </c>
      <c r="V22">
        <v>8.3729371401769708</v>
      </c>
      <c r="W22">
        <v>-2.2017301104062001</v>
      </c>
      <c r="X22">
        <v>9.6514868134876792</v>
      </c>
      <c r="Y22">
        <v>8.3479676506540201</v>
      </c>
      <c r="Z22">
        <v>-2.4139475186448598</v>
      </c>
      <c r="AA22">
        <v>8.0221802516861906</v>
      </c>
      <c r="AB22">
        <v>5.3040116995708297</v>
      </c>
    </row>
    <row r="23" spans="1:28" x14ac:dyDescent="0.25">
      <c r="A23">
        <v>21</v>
      </c>
      <c r="B23">
        <v>1033</v>
      </c>
      <c r="C23">
        <v>1</v>
      </c>
      <c r="D23">
        <v>1</v>
      </c>
      <c r="E23">
        <v>0.15147527670742</v>
      </c>
      <c r="F23">
        <v>0.44480175205001798</v>
      </c>
      <c r="G23">
        <v>3.9933727479521499</v>
      </c>
      <c r="H23">
        <v>-8.5968498995491097E-2</v>
      </c>
      <c r="I23">
        <v>1.0308976518267601</v>
      </c>
      <c r="J23">
        <v>4.7140641965209102</v>
      </c>
      <c r="K23">
        <v>-0.45770669385318002</v>
      </c>
      <c r="L23">
        <v>3.4233346933200401</v>
      </c>
      <c r="M23">
        <v>5.8534631858975796</v>
      </c>
      <c r="N23">
        <v>-0.53712831712600995</v>
      </c>
      <c r="O23">
        <v>3.4893543275511201</v>
      </c>
      <c r="P23">
        <v>5.8713734778515798</v>
      </c>
      <c r="Q23">
        <v>-0.31149319121623198</v>
      </c>
      <c r="R23">
        <v>2.3501248205373</v>
      </c>
      <c r="S23">
        <v>4.6536163207509</v>
      </c>
      <c r="T23">
        <v>-0.26294090635487199</v>
      </c>
      <c r="U23">
        <v>5.4100707094734197</v>
      </c>
      <c r="V23">
        <v>10.217263506560901</v>
      </c>
      <c r="W23">
        <v>-0.63390760061601903</v>
      </c>
      <c r="X23">
        <v>5.8324933465427797</v>
      </c>
      <c r="Y23">
        <v>10.193120000050399</v>
      </c>
      <c r="Z23">
        <v>1.4507622523144199</v>
      </c>
      <c r="AA23">
        <v>-0.14226057036262199</v>
      </c>
      <c r="AB23">
        <v>8.26918187402927</v>
      </c>
    </row>
    <row r="24" spans="1:28" x14ac:dyDescent="0.25">
      <c r="A24">
        <v>22</v>
      </c>
      <c r="B24">
        <v>1034</v>
      </c>
      <c r="C24">
        <v>1</v>
      </c>
      <c r="D24">
        <v>1</v>
      </c>
      <c r="E24">
        <v>0.54047593802784</v>
      </c>
      <c r="F24">
        <v>-9.7890765866280594E-2</v>
      </c>
      <c r="G24">
        <v>5.7391676697365401</v>
      </c>
      <c r="H24">
        <v>0.54790506582826304</v>
      </c>
      <c r="I24">
        <v>-2.4931482235697099E-2</v>
      </c>
      <c r="J24">
        <v>6.9098017469285899</v>
      </c>
      <c r="K24">
        <v>-0.323267000113166</v>
      </c>
      <c r="L24">
        <v>3.68869197193714</v>
      </c>
      <c r="M24">
        <v>8.9532417088101894</v>
      </c>
      <c r="N24">
        <v>6.9638494814500407E-2</v>
      </c>
      <c r="O24">
        <v>2.9090061505479601</v>
      </c>
      <c r="P24">
        <v>9.1229416214845696</v>
      </c>
      <c r="Q24">
        <v>-0.21139187318439201</v>
      </c>
      <c r="R24">
        <v>2.3829766011097999</v>
      </c>
      <c r="S24">
        <v>6.8371887202342299</v>
      </c>
      <c r="T24">
        <v>-1.68326808024723</v>
      </c>
      <c r="U24">
        <v>6.2678855936350297</v>
      </c>
      <c r="V24">
        <v>13.3064861586092</v>
      </c>
      <c r="W24">
        <v>-1.97082651100924</v>
      </c>
      <c r="X24">
        <v>6.4752789574726703</v>
      </c>
      <c r="Y24">
        <v>13.372257311286599</v>
      </c>
      <c r="Z24">
        <v>-0.682977831089429</v>
      </c>
      <c r="AA24">
        <v>1.6545302815801799</v>
      </c>
      <c r="AB24">
        <v>10.4024723986588</v>
      </c>
    </row>
    <row r="25" spans="1:28" x14ac:dyDescent="0.25">
      <c r="A25">
        <v>23</v>
      </c>
      <c r="B25">
        <v>1035</v>
      </c>
      <c r="C25">
        <v>1</v>
      </c>
      <c r="D25">
        <v>1</v>
      </c>
      <c r="E25">
        <v>0.71343041132194795</v>
      </c>
      <c r="F25">
        <v>-0.53402937928926697</v>
      </c>
      <c r="G25">
        <v>2.34849514143274</v>
      </c>
      <c r="H25">
        <v>-0.19020055637761199</v>
      </c>
      <c r="I25">
        <v>1.2008176817426801</v>
      </c>
      <c r="J25">
        <v>2.51269449133052</v>
      </c>
      <c r="K25">
        <v>4.3621529807694202E-2</v>
      </c>
      <c r="L25">
        <v>1.5184028190546199</v>
      </c>
      <c r="M25">
        <v>4.4184557866853202</v>
      </c>
      <c r="N25">
        <v>-2.4075513918206198E-2</v>
      </c>
      <c r="O25">
        <v>1.63483719727585</v>
      </c>
      <c r="P25">
        <v>4.3242258622312901</v>
      </c>
      <c r="Q25">
        <v>-0.29139309618519799</v>
      </c>
      <c r="R25">
        <v>1.8872425879935499</v>
      </c>
      <c r="S25">
        <v>3.2224861979157602</v>
      </c>
      <c r="T25">
        <v>-2.0424114774824602</v>
      </c>
      <c r="U25">
        <v>8.6038138032217795</v>
      </c>
      <c r="V25">
        <v>8.8215371583415205</v>
      </c>
      <c r="W25">
        <v>-2.2911428527162898</v>
      </c>
      <c r="X25">
        <v>8.9033068847467298</v>
      </c>
      <c r="Y25">
        <v>8.7680823171198305</v>
      </c>
      <c r="Z25">
        <v>-2.0454569618377598</v>
      </c>
      <c r="AA25">
        <v>6.8952061953342803</v>
      </c>
      <c r="AB25">
        <v>5.6369281830462503</v>
      </c>
    </row>
    <row r="26" spans="1:28" x14ac:dyDescent="0.25">
      <c r="A26">
        <v>24</v>
      </c>
      <c r="B26">
        <v>1036</v>
      </c>
      <c r="C26">
        <v>1</v>
      </c>
      <c r="D26">
        <v>1</v>
      </c>
      <c r="E26">
        <v>-0.70270413868253501</v>
      </c>
      <c r="F26">
        <v>2.6243207755992302</v>
      </c>
      <c r="G26">
        <v>2.2779568454422199</v>
      </c>
      <c r="H26">
        <v>-1.1287196712354</v>
      </c>
      <c r="I26">
        <v>3.7213659075808598</v>
      </c>
      <c r="J26">
        <v>2.4184450876152601</v>
      </c>
      <c r="K26">
        <v>-0.66081728062134304</v>
      </c>
      <c r="L26">
        <v>3.2822177470698501</v>
      </c>
      <c r="M26">
        <v>4.7753725995835898</v>
      </c>
      <c r="N26">
        <v>-0.56265709023028898</v>
      </c>
      <c r="O26">
        <v>3.11797033470115</v>
      </c>
      <c r="P26">
        <v>4.7601591046616001</v>
      </c>
      <c r="Q26">
        <v>-1.16886572055465</v>
      </c>
      <c r="R26">
        <v>4.3847390632723</v>
      </c>
      <c r="S26">
        <v>3.3760519859407601</v>
      </c>
      <c r="T26">
        <v>-4.1122574008279704</v>
      </c>
      <c r="U26">
        <v>11.284355559393701</v>
      </c>
      <c r="V26">
        <v>8.9352925065570794</v>
      </c>
      <c r="W26">
        <v>-4.0996921173951497</v>
      </c>
      <c r="X26">
        <v>11.3196804982943</v>
      </c>
      <c r="Y26">
        <v>8.8422577563506106</v>
      </c>
      <c r="Z26">
        <v>-2.7393124227230099</v>
      </c>
      <c r="AA26">
        <v>7.53659553340459</v>
      </c>
      <c r="AB26">
        <v>5.9280666486508702</v>
      </c>
    </row>
    <row r="27" spans="1:28" x14ac:dyDescent="0.25">
      <c r="A27">
        <v>25</v>
      </c>
      <c r="B27">
        <v>1037</v>
      </c>
      <c r="C27">
        <v>1</v>
      </c>
      <c r="D27">
        <v>1</v>
      </c>
      <c r="E27">
        <v>0.35411717012072502</v>
      </c>
      <c r="F27">
        <v>0.83249541571542995</v>
      </c>
      <c r="G27">
        <v>2.7929951030702602</v>
      </c>
      <c r="H27">
        <v>9.92385108827403E-2</v>
      </c>
      <c r="I27">
        <v>1.23445037005638</v>
      </c>
      <c r="J27">
        <v>3.2215108964632901</v>
      </c>
      <c r="K27">
        <v>0.90217639179853104</v>
      </c>
      <c r="L27">
        <v>2.1316093557881501</v>
      </c>
      <c r="M27">
        <v>4.3015196689539703</v>
      </c>
      <c r="N27">
        <v>0.86072255787069996</v>
      </c>
      <c r="O27">
        <v>2.1950660286633901</v>
      </c>
      <c r="P27">
        <v>4.2765280583328398</v>
      </c>
      <c r="Q27">
        <v>0.297304288790675</v>
      </c>
      <c r="R27">
        <v>2.2965622387396101</v>
      </c>
      <c r="S27">
        <v>3.3388950611747399</v>
      </c>
      <c r="T27">
        <v>-1.2296651112586701</v>
      </c>
      <c r="U27">
        <v>7.7053059871254597</v>
      </c>
      <c r="V27">
        <v>10.432583183533399</v>
      </c>
      <c r="W27">
        <v>-1.43144010119686</v>
      </c>
      <c r="X27">
        <v>8.0757875814318592</v>
      </c>
      <c r="Y27">
        <v>10.303616039438699</v>
      </c>
      <c r="Z27">
        <v>-1.0956667865554599</v>
      </c>
      <c r="AA27">
        <v>5.07122015788637</v>
      </c>
      <c r="AB27">
        <v>7.2881594317621703</v>
      </c>
    </row>
    <row r="28" spans="1:28" x14ac:dyDescent="0.25">
      <c r="A28">
        <v>26</v>
      </c>
      <c r="B28">
        <v>1038</v>
      </c>
      <c r="C28">
        <v>1</v>
      </c>
      <c r="D28">
        <v>1</v>
      </c>
      <c r="E28">
        <v>-0.57570883422205599</v>
      </c>
      <c r="F28">
        <v>2.7278060008130498</v>
      </c>
      <c r="G28">
        <v>2.81144080295002</v>
      </c>
      <c r="H28">
        <v>-0.892539529356147</v>
      </c>
      <c r="I28">
        <v>3.16046383691865</v>
      </c>
      <c r="J28">
        <v>3.6360052073999798</v>
      </c>
      <c r="K28">
        <v>0.17017095745185001</v>
      </c>
      <c r="L28">
        <v>3.29038922860784</v>
      </c>
      <c r="M28">
        <v>5.1410613168286998</v>
      </c>
      <c r="N28">
        <v>0.29832262943203203</v>
      </c>
      <c r="O28">
        <v>3.1062331550676898</v>
      </c>
      <c r="P28">
        <v>5.1413051640935601</v>
      </c>
      <c r="Q28">
        <v>-1.16824959518226</v>
      </c>
      <c r="R28">
        <v>4.1940549967840202</v>
      </c>
      <c r="S28">
        <v>3.8697773219901102</v>
      </c>
      <c r="T28">
        <v>-2.2735303350796601</v>
      </c>
      <c r="U28">
        <v>8.9318898212690403</v>
      </c>
      <c r="V28">
        <v>8.09139752795536</v>
      </c>
      <c r="W28">
        <v>-2.3605095777566198</v>
      </c>
      <c r="X28">
        <v>8.8360503107368995</v>
      </c>
      <c r="Y28">
        <v>8.1935570226166892</v>
      </c>
      <c r="Z28">
        <v>-1.32418212803455</v>
      </c>
      <c r="AA28">
        <v>5.8308532434023403</v>
      </c>
      <c r="AB28">
        <v>5.9888909203085001</v>
      </c>
    </row>
    <row r="29" spans="1:28" x14ac:dyDescent="0.25">
      <c r="A29">
        <v>27</v>
      </c>
      <c r="B29">
        <v>1039</v>
      </c>
      <c r="C29">
        <v>1</v>
      </c>
      <c r="D29">
        <v>1</v>
      </c>
      <c r="E29">
        <v>2.7080813404814401E-3</v>
      </c>
      <c r="F29">
        <v>2.4883883558781799</v>
      </c>
      <c r="G29">
        <v>2.0953821158331301</v>
      </c>
      <c r="H29">
        <v>-0.20401000446853701</v>
      </c>
      <c r="I29">
        <v>3.3078432063474001</v>
      </c>
      <c r="J29">
        <v>2.4144262471351099</v>
      </c>
      <c r="K29">
        <v>-0.40059003397339898</v>
      </c>
      <c r="L29">
        <v>4.2939947923750204</v>
      </c>
      <c r="M29">
        <v>4.3509718978432703</v>
      </c>
      <c r="N29">
        <v>-0.45834418591433101</v>
      </c>
      <c r="O29">
        <v>4.3370209301994196</v>
      </c>
      <c r="P29">
        <v>4.3519955366260596</v>
      </c>
      <c r="Q29">
        <v>2.0588025658023899E-2</v>
      </c>
      <c r="R29">
        <v>3.1825021353400298</v>
      </c>
      <c r="S29">
        <v>3.4290041434559302</v>
      </c>
      <c r="T29">
        <v>-4.2485582091216498</v>
      </c>
      <c r="U29">
        <v>11.6081267686384</v>
      </c>
      <c r="V29">
        <v>8.2612043867729206</v>
      </c>
      <c r="W29">
        <v>-4.27243310478692</v>
      </c>
      <c r="X29">
        <v>11.8162558244811</v>
      </c>
      <c r="Y29">
        <v>8.1304829029770307</v>
      </c>
      <c r="Z29">
        <v>-3.9818567909978699</v>
      </c>
      <c r="AA29">
        <v>10.2474919211359</v>
      </c>
      <c r="AB29">
        <v>4.6041892790903702</v>
      </c>
    </row>
    <row r="30" spans="1:28" x14ac:dyDescent="0.25">
      <c r="A30">
        <v>28</v>
      </c>
      <c r="B30">
        <v>1041</v>
      </c>
      <c r="C30">
        <v>1</v>
      </c>
      <c r="D30">
        <v>1</v>
      </c>
      <c r="E30">
        <v>-0.32339809279693399</v>
      </c>
      <c r="F30">
        <v>1.8738932117806499</v>
      </c>
      <c r="G30">
        <v>3.37547818636448</v>
      </c>
      <c r="H30">
        <v>-0.59750686727998004</v>
      </c>
      <c r="I30">
        <v>2.5425076922406502</v>
      </c>
      <c r="J30">
        <v>3.76822370409195</v>
      </c>
      <c r="K30">
        <v>-0.95832488859922704</v>
      </c>
      <c r="L30">
        <v>4.4301406733974602</v>
      </c>
      <c r="M30">
        <v>6.3213007090906803</v>
      </c>
      <c r="N30">
        <v>-1.07811526108861</v>
      </c>
      <c r="O30">
        <v>4.3390365678282201</v>
      </c>
      <c r="P30">
        <v>6.33069054055336</v>
      </c>
      <c r="Q30">
        <v>-0.85324633780026204</v>
      </c>
      <c r="R30">
        <v>3.3079596264606401</v>
      </c>
      <c r="S30">
        <v>4.40030448353287</v>
      </c>
      <c r="T30">
        <v>-0.44474437404309197</v>
      </c>
      <c r="U30">
        <v>5.2562942574399401</v>
      </c>
      <c r="V30">
        <v>8.2408500812364096</v>
      </c>
      <c r="W30">
        <v>-0.26672399691179</v>
      </c>
      <c r="X30">
        <v>5.0467732267095498</v>
      </c>
      <c r="Y30">
        <v>8.2404607282288698</v>
      </c>
      <c r="Z30">
        <v>-0.235758785315963</v>
      </c>
      <c r="AA30">
        <v>3.7193364837798799</v>
      </c>
      <c r="AB30">
        <v>5.5195086877531496</v>
      </c>
    </row>
    <row r="31" spans="1:28" x14ac:dyDescent="0.25">
      <c r="A31">
        <v>29</v>
      </c>
      <c r="B31">
        <v>1042</v>
      </c>
      <c r="C31">
        <v>1</v>
      </c>
      <c r="D31">
        <v>1</v>
      </c>
      <c r="E31">
        <v>-0.87989432778046694</v>
      </c>
      <c r="F31">
        <v>2.5862085406858899</v>
      </c>
      <c r="G31">
        <v>2.75811949895412</v>
      </c>
      <c r="H31">
        <v>-1.1274126724851501</v>
      </c>
      <c r="I31">
        <v>3.25024840738581</v>
      </c>
      <c r="J31">
        <v>3.0919548490512501</v>
      </c>
      <c r="K31">
        <v>-1.0439271772374501</v>
      </c>
      <c r="L31">
        <v>4.2168173233833199</v>
      </c>
      <c r="M31">
        <v>5.7026940634271899</v>
      </c>
      <c r="N31">
        <v>-1.02574428720777</v>
      </c>
      <c r="O31">
        <v>3.9014025307725602</v>
      </c>
      <c r="P31">
        <v>5.6233838393164604</v>
      </c>
      <c r="Q31">
        <v>-1.7138413385295499</v>
      </c>
      <c r="R31">
        <v>4.7451358862844</v>
      </c>
      <c r="S31">
        <v>3.8461192290185</v>
      </c>
      <c r="T31">
        <v>-4.2879553955639</v>
      </c>
      <c r="U31">
        <v>11.086115617522101</v>
      </c>
      <c r="V31">
        <v>8.0960017889156806</v>
      </c>
      <c r="W31">
        <v>-3.9188333997035998</v>
      </c>
      <c r="X31">
        <v>10.5145843148319</v>
      </c>
      <c r="Y31">
        <v>8.3151858188054693</v>
      </c>
      <c r="Z31">
        <v>-2.83952403893983</v>
      </c>
      <c r="AA31">
        <v>7.3304729999962497</v>
      </c>
      <c r="AB31">
        <v>5.9896102601982903</v>
      </c>
    </row>
    <row r="32" spans="1:28" x14ac:dyDescent="0.25">
      <c r="A32">
        <v>30</v>
      </c>
      <c r="B32">
        <v>1045</v>
      </c>
      <c r="C32">
        <v>1</v>
      </c>
      <c r="D32">
        <v>1</v>
      </c>
      <c r="E32">
        <v>-0.907221589607768</v>
      </c>
      <c r="F32">
        <v>2.4994473813260001</v>
      </c>
      <c r="G32">
        <v>3.2425653215049102</v>
      </c>
      <c r="H32">
        <v>-0.43329775452185099</v>
      </c>
      <c r="I32">
        <v>2.0533290074540602</v>
      </c>
      <c r="J32">
        <v>3.78637933542073</v>
      </c>
      <c r="K32">
        <v>-0.79153311557044104</v>
      </c>
      <c r="L32">
        <v>4.0773047476280198</v>
      </c>
      <c r="M32">
        <v>5.75072957936215</v>
      </c>
      <c r="N32">
        <v>-0.61865829317145005</v>
      </c>
      <c r="O32">
        <v>3.8333384568250501</v>
      </c>
      <c r="P32">
        <v>5.7835365169845501</v>
      </c>
      <c r="Q32">
        <v>-0.85172313692870105</v>
      </c>
      <c r="R32">
        <v>3.32551448822653</v>
      </c>
      <c r="S32">
        <v>4.4136380251377396</v>
      </c>
      <c r="T32">
        <v>-2.6393594993698302</v>
      </c>
      <c r="U32">
        <v>8.5646636885627903</v>
      </c>
      <c r="V32">
        <v>9.53634273226643</v>
      </c>
      <c r="W32">
        <v>-2.7404462135703</v>
      </c>
      <c r="X32">
        <v>8.8053349177972802</v>
      </c>
      <c r="Y32">
        <v>9.4580445214841902</v>
      </c>
      <c r="Z32">
        <v>-2.0522970985552802</v>
      </c>
      <c r="AA32">
        <v>6.2332510224776003</v>
      </c>
      <c r="AB32">
        <v>6.2965992452815698</v>
      </c>
    </row>
    <row r="33" spans="1:28" x14ac:dyDescent="0.25">
      <c r="A33">
        <v>31</v>
      </c>
      <c r="B33">
        <v>1047</v>
      </c>
      <c r="C33">
        <v>1</v>
      </c>
      <c r="D33">
        <v>1</v>
      </c>
      <c r="E33">
        <v>8.5130710308579702E-2</v>
      </c>
      <c r="F33">
        <v>1.26338485470051</v>
      </c>
      <c r="G33">
        <v>2.3300456676738501</v>
      </c>
      <c r="H33">
        <v>-0.622763224471374</v>
      </c>
      <c r="I33">
        <v>2.6057577840379298</v>
      </c>
      <c r="J33">
        <v>2.6187291819945702</v>
      </c>
      <c r="K33">
        <v>0.50108715962916806</v>
      </c>
      <c r="L33">
        <v>1.8535145747569599</v>
      </c>
      <c r="M33">
        <v>4.1322873917423903</v>
      </c>
      <c r="N33">
        <v>0.43019307414576102</v>
      </c>
      <c r="O33">
        <v>1.93873730770394</v>
      </c>
      <c r="P33">
        <v>4.1273887254023096</v>
      </c>
      <c r="Q33">
        <v>0.10546700380689999</v>
      </c>
      <c r="R33">
        <v>2.3796181816913702</v>
      </c>
      <c r="S33">
        <v>3.14547843751139</v>
      </c>
      <c r="T33">
        <v>0.34792073931668199</v>
      </c>
      <c r="U33">
        <v>8.0386183582253601</v>
      </c>
      <c r="V33">
        <v>7.8488633066440103</v>
      </c>
      <c r="W33">
        <v>0.31490259304808899</v>
      </c>
      <c r="X33">
        <v>7.9687757812690103</v>
      </c>
      <c r="Y33">
        <v>7.8655302435913601</v>
      </c>
      <c r="Z33">
        <v>-1.2048965616405101</v>
      </c>
      <c r="AA33">
        <v>7.4571412698507702</v>
      </c>
      <c r="AB33">
        <v>4.7995829388966396</v>
      </c>
    </row>
    <row r="34" spans="1:28" x14ac:dyDescent="0.25">
      <c r="A34">
        <v>32</v>
      </c>
      <c r="B34">
        <v>1048</v>
      </c>
      <c r="C34">
        <v>1</v>
      </c>
      <c r="D34">
        <v>1</v>
      </c>
      <c r="E34">
        <v>-0.82530651916068198</v>
      </c>
      <c r="F34">
        <v>2.1367316388795001</v>
      </c>
      <c r="G34">
        <v>2.7707804850988702</v>
      </c>
      <c r="H34">
        <v>-0.34832717367357202</v>
      </c>
      <c r="I34">
        <v>1.7180610450868199</v>
      </c>
      <c r="J34">
        <v>3.1723220840740201</v>
      </c>
      <c r="K34">
        <v>-0.87502601730776297</v>
      </c>
      <c r="L34">
        <v>3.4050134933230201</v>
      </c>
      <c r="M34">
        <v>4.8366482325552402</v>
      </c>
      <c r="N34">
        <v>-0.76987526524092098</v>
      </c>
      <c r="O34">
        <v>3.3786862359375398</v>
      </c>
      <c r="P34">
        <v>4.6229580359003704</v>
      </c>
      <c r="Q34">
        <v>-0.657516948195071</v>
      </c>
      <c r="R34">
        <v>2.7399303593613902</v>
      </c>
      <c r="S34">
        <v>3.8126264747517098</v>
      </c>
      <c r="T34">
        <v>-3.2249583889972402</v>
      </c>
      <c r="U34">
        <v>8.9719053526277897</v>
      </c>
      <c r="V34">
        <v>8.2772223322377396</v>
      </c>
      <c r="W34">
        <v>-3.01409315273786</v>
      </c>
      <c r="X34">
        <v>8.7275418228115793</v>
      </c>
      <c r="Y34">
        <v>8.3234815015314005</v>
      </c>
      <c r="Z34">
        <v>-2.5527182962892701</v>
      </c>
      <c r="AA34">
        <v>6.2749198558324304</v>
      </c>
      <c r="AB34">
        <v>5.8670451142248901</v>
      </c>
    </row>
    <row r="35" spans="1:28" x14ac:dyDescent="0.25">
      <c r="A35">
        <v>33</v>
      </c>
      <c r="B35">
        <v>2002</v>
      </c>
      <c r="C35">
        <v>2</v>
      </c>
      <c r="D35">
        <v>2</v>
      </c>
      <c r="E35">
        <v>0.112256080998606</v>
      </c>
      <c r="F35">
        <v>2.35957278440031</v>
      </c>
      <c r="G35">
        <v>2.69907925233785</v>
      </c>
      <c r="H35">
        <v>-9.3915023375753498E-2</v>
      </c>
      <c r="I35">
        <v>2.5361567283701101</v>
      </c>
      <c r="J35">
        <v>3.1192612561551698</v>
      </c>
      <c r="K35">
        <v>0.47192608590446999</v>
      </c>
      <c r="L35">
        <v>3.5369534978649999</v>
      </c>
      <c r="M35">
        <v>5.0363877089457398</v>
      </c>
      <c r="N35">
        <v>0.45342413373474499</v>
      </c>
      <c r="O35">
        <v>3.52729691628346</v>
      </c>
      <c r="P35">
        <v>5.0226640571954402</v>
      </c>
      <c r="Q35">
        <v>4.5717401872674701E-2</v>
      </c>
      <c r="R35">
        <v>3.1670693609990601</v>
      </c>
      <c r="S35">
        <v>3.8785736286883101</v>
      </c>
      <c r="T35">
        <v>-0.50437251266465999</v>
      </c>
      <c r="U35">
        <v>5.8748483331807098</v>
      </c>
      <c r="V35">
        <v>9.7833488029717195</v>
      </c>
      <c r="W35">
        <v>-0.69578227302381801</v>
      </c>
      <c r="X35">
        <v>6.05048978709703</v>
      </c>
      <c r="Y35">
        <v>9.7984519824201399</v>
      </c>
      <c r="Z35">
        <v>-1.0513698504173199</v>
      </c>
      <c r="AA35">
        <v>4.8595804997756602</v>
      </c>
      <c r="AB35">
        <v>6.5405966604627102</v>
      </c>
    </row>
    <row r="36" spans="1:28" x14ac:dyDescent="0.25">
      <c r="A36">
        <v>34</v>
      </c>
      <c r="B36">
        <v>2007</v>
      </c>
      <c r="C36">
        <v>2</v>
      </c>
      <c r="D36">
        <v>2</v>
      </c>
      <c r="E36">
        <v>-0.35717481070324097</v>
      </c>
      <c r="F36">
        <v>2.0794034213512602</v>
      </c>
      <c r="G36">
        <v>2.7645549773116298</v>
      </c>
      <c r="H36">
        <v>-1.1877992029747899</v>
      </c>
      <c r="I36">
        <v>3.40375553237552</v>
      </c>
      <c r="J36">
        <v>3.5762687205698298</v>
      </c>
      <c r="K36">
        <v>3.6908904550989699E-3</v>
      </c>
      <c r="L36">
        <v>3.6136309451295499</v>
      </c>
      <c r="M36">
        <v>6.2634822411087301</v>
      </c>
      <c r="N36">
        <v>-0.24941486289596501</v>
      </c>
      <c r="O36">
        <v>3.8697269429725498</v>
      </c>
      <c r="P36">
        <v>6.1728296302864401</v>
      </c>
      <c r="Q36">
        <v>-0.51568344667463795</v>
      </c>
      <c r="R36">
        <v>3.11476850306539</v>
      </c>
      <c r="S36">
        <v>3.80150822069526</v>
      </c>
      <c r="T36">
        <v>-3.56136318725106</v>
      </c>
      <c r="U36">
        <v>9.9830819660427892</v>
      </c>
      <c r="V36">
        <v>8.4560712523165602</v>
      </c>
      <c r="W36">
        <v>-3.7770221329934301</v>
      </c>
      <c r="X36">
        <v>10.245143356277801</v>
      </c>
      <c r="Y36">
        <v>8.4741724681372297</v>
      </c>
      <c r="Z36">
        <v>-2.5958925122349199</v>
      </c>
      <c r="AA36">
        <v>7.2803173537310997</v>
      </c>
      <c r="AB36">
        <v>5.1810136952890096</v>
      </c>
    </row>
    <row r="37" spans="1:28" x14ac:dyDescent="0.25">
      <c r="A37">
        <v>35</v>
      </c>
      <c r="B37">
        <v>2008</v>
      </c>
      <c r="C37">
        <v>2</v>
      </c>
      <c r="D37">
        <v>2</v>
      </c>
      <c r="E37">
        <v>-0.50577996705006001</v>
      </c>
      <c r="F37">
        <v>2.5751053648365798</v>
      </c>
      <c r="G37">
        <v>7.0531036592315903</v>
      </c>
      <c r="H37">
        <v>-0.426467930370723</v>
      </c>
      <c r="I37">
        <v>3.4225139098680701</v>
      </c>
      <c r="J37">
        <v>8.0748056332006009</v>
      </c>
      <c r="K37">
        <v>-0.548770200601015</v>
      </c>
      <c r="L37">
        <v>1.77242460186038</v>
      </c>
      <c r="M37">
        <v>14.0038429490411</v>
      </c>
      <c r="N37">
        <v>-0.67181747244661705</v>
      </c>
      <c r="O37">
        <v>1.9731092769465399</v>
      </c>
      <c r="P37">
        <v>13.9926411522314</v>
      </c>
      <c r="Q37">
        <v>0.14851863970409801</v>
      </c>
      <c r="R37">
        <v>2.03530784118698</v>
      </c>
      <c r="S37">
        <v>8.5142831751486998</v>
      </c>
      <c r="T37">
        <v>-0.46531974653755498</v>
      </c>
      <c r="U37">
        <v>8.6195127920814691</v>
      </c>
      <c r="V37">
        <v>12.637425648022701</v>
      </c>
      <c r="W37">
        <v>-0.62799211958051104</v>
      </c>
      <c r="X37">
        <v>8.9473368118171397</v>
      </c>
      <c r="Y37">
        <v>12.521339390907199</v>
      </c>
      <c r="Z37">
        <v>-0.37726844149833</v>
      </c>
      <c r="AA37">
        <v>6.8361268499336498</v>
      </c>
      <c r="AB37">
        <v>8.7171326122555897</v>
      </c>
    </row>
    <row r="38" spans="1:28" x14ac:dyDescent="0.25">
      <c r="A38">
        <v>36</v>
      </c>
      <c r="B38">
        <v>2013</v>
      </c>
      <c r="C38">
        <v>2</v>
      </c>
      <c r="D38">
        <v>2</v>
      </c>
      <c r="E38">
        <v>-1.0500434158441001</v>
      </c>
      <c r="F38">
        <v>3.3200974900420999</v>
      </c>
      <c r="G38">
        <v>3.9307759431485301</v>
      </c>
      <c r="H38">
        <v>-1.2223284139780299</v>
      </c>
      <c r="I38">
        <v>3.9162713765620598</v>
      </c>
      <c r="J38">
        <v>4.3252009282820998</v>
      </c>
      <c r="K38">
        <v>-1.0259185786231599</v>
      </c>
      <c r="L38">
        <v>5.1578816349912904</v>
      </c>
      <c r="M38">
        <v>6.6133547622705198</v>
      </c>
      <c r="N38">
        <v>-0.92545014247799395</v>
      </c>
      <c r="O38">
        <v>4.9261795172794098</v>
      </c>
      <c r="P38">
        <v>6.6235068995131403</v>
      </c>
      <c r="Q38">
        <v>-1.0127695065959199</v>
      </c>
      <c r="R38">
        <v>3.9882249169223298</v>
      </c>
      <c r="S38">
        <v>5.09401941356119</v>
      </c>
      <c r="T38">
        <v>-2.5612390718829099</v>
      </c>
      <c r="U38">
        <v>10.534004451994999</v>
      </c>
      <c r="V38">
        <v>8.1618258038336595</v>
      </c>
      <c r="W38">
        <v>-2.4595286670540499</v>
      </c>
      <c r="X38">
        <v>10.378641262956901</v>
      </c>
      <c r="Y38">
        <v>8.2084765206173191</v>
      </c>
      <c r="Z38">
        <v>-0.82870430139857099</v>
      </c>
      <c r="AA38">
        <v>4.8318447067771801</v>
      </c>
      <c r="AB38">
        <v>6.3048508480129097</v>
      </c>
    </row>
    <row r="39" spans="1:28" x14ac:dyDescent="0.25">
      <c r="A39">
        <v>37</v>
      </c>
      <c r="B39">
        <v>2015</v>
      </c>
      <c r="C39">
        <v>2</v>
      </c>
      <c r="D39">
        <v>2</v>
      </c>
      <c r="E39">
        <v>-0.655383802442847</v>
      </c>
      <c r="F39">
        <v>1.9464958605481399</v>
      </c>
      <c r="G39">
        <v>7.6158321150841202</v>
      </c>
      <c r="H39">
        <v>-0.47808192940071997</v>
      </c>
      <c r="I39">
        <v>2.2680320836172299</v>
      </c>
      <c r="J39">
        <v>8.3617826906085906</v>
      </c>
      <c r="K39">
        <v>0.48591770231614501</v>
      </c>
      <c r="L39">
        <v>2.4699547040575198</v>
      </c>
      <c r="M39">
        <v>11.049616790479501</v>
      </c>
      <c r="N39">
        <v>0.216845424185654</v>
      </c>
      <c r="O39">
        <v>3.10798332092146</v>
      </c>
      <c r="P39">
        <v>10.6745910162367</v>
      </c>
      <c r="Q39">
        <v>-0.47238168048191498</v>
      </c>
      <c r="R39">
        <v>2.81984538522698</v>
      </c>
      <c r="S39">
        <v>8.7396869316894499</v>
      </c>
      <c r="T39">
        <v>-0.52017206408360395</v>
      </c>
      <c r="U39">
        <v>7.9274002447771501</v>
      </c>
      <c r="V39">
        <v>13.587210524978801</v>
      </c>
      <c r="W39">
        <v>-0.68018030207883895</v>
      </c>
      <c r="X39">
        <v>8.1717260770506499</v>
      </c>
      <c r="Y39">
        <v>13.543354774584399</v>
      </c>
      <c r="Z39">
        <v>-0.99599480393902495</v>
      </c>
      <c r="AA39">
        <v>4.8155927051420404</v>
      </c>
      <c r="AB39">
        <v>9.8767812049481698</v>
      </c>
    </row>
    <row r="40" spans="1:28" x14ac:dyDescent="0.25">
      <c r="A40">
        <v>38</v>
      </c>
      <c r="B40">
        <v>2017</v>
      </c>
      <c r="C40">
        <v>2</v>
      </c>
      <c r="D40">
        <v>2</v>
      </c>
      <c r="E40">
        <v>-1.57004329014371</v>
      </c>
      <c r="F40">
        <v>5.0792819235498499</v>
      </c>
      <c r="G40">
        <v>2.7365462012899</v>
      </c>
      <c r="H40">
        <v>-1.4512485753706701</v>
      </c>
      <c r="I40">
        <v>5.6458028233209303</v>
      </c>
      <c r="J40">
        <v>3.6315616729926901</v>
      </c>
      <c r="K40">
        <v>-1.40236231961383</v>
      </c>
      <c r="L40">
        <v>7.8732053521707899</v>
      </c>
      <c r="M40">
        <v>4.6552132749934998</v>
      </c>
      <c r="N40">
        <v>-1.4558861715471001</v>
      </c>
      <c r="O40">
        <v>7.9391520154422297</v>
      </c>
      <c r="P40">
        <v>4.6425466666272399</v>
      </c>
      <c r="Q40">
        <v>-0.85916847875499502</v>
      </c>
      <c r="R40">
        <v>5.3762895763901897</v>
      </c>
      <c r="S40">
        <v>3.7163090066940501</v>
      </c>
      <c r="T40">
        <v>-0.44695774926271797</v>
      </c>
      <c r="U40">
        <v>6.7969643036695802</v>
      </c>
      <c r="V40">
        <v>12.483088588230901</v>
      </c>
      <c r="W40">
        <v>-0.40399637628624002</v>
      </c>
      <c r="X40">
        <v>6.7038058082409604</v>
      </c>
      <c r="Y40">
        <v>12.521357542017</v>
      </c>
      <c r="Z40">
        <v>-3.38172889356809</v>
      </c>
      <c r="AA40">
        <v>8.2011402404213207</v>
      </c>
      <c r="AB40">
        <v>9.0809733428475603</v>
      </c>
    </row>
    <row r="41" spans="1:28" x14ac:dyDescent="0.25">
      <c r="A41">
        <v>39</v>
      </c>
      <c r="B41">
        <v>2020</v>
      </c>
      <c r="C41">
        <v>2</v>
      </c>
      <c r="D41">
        <v>2</v>
      </c>
      <c r="E41">
        <v>5.94763832154519E-2</v>
      </c>
      <c r="F41">
        <v>0.916758205057846</v>
      </c>
      <c r="G41">
        <v>2.4484556085085001</v>
      </c>
      <c r="H41">
        <v>-0.30637963091690701</v>
      </c>
      <c r="I41">
        <v>2.07341383886506</v>
      </c>
      <c r="J41">
        <v>2.7124365524182501</v>
      </c>
      <c r="K41">
        <v>0.486613559243678</v>
      </c>
      <c r="L41">
        <v>1.7192538617248401</v>
      </c>
      <c r="M41">
        <v>5.1619579775750797</v>
      </c>
      <c r="N41">
        <v>0.46929949378235097</v>
      </c>
      <c r="O41">
        <v>1.6981682332939101</v>
      </c>
      <c r="P41">
        <v>5.17500869993364</v>
      </c>
      <c r="Q41">
        <v>-0.47084170470079101</v>
      </c>
      <c r="R41">
        <v>2.4492920093268302</v>
      </c>
      <c r="S41">
        <v>3.4787016178654202</v>
      </c>
      <c r="T41">
        <v>-2.9591781268439901</v>
      </c>
      <c r="U41">
        <v>8.4902671062103199</v>
      </c>
      <c r="V41">
        <v>9.7292224403974394</v>
      </c>
      <c r="W41">
        <v>-3.066437873061</v>
      </c>
      <c r="X41">
        <v>8.6837730567937701</v>
      </c>
      <c r="Y41">
        <v>9.6818507025666101</v>
      </c>
      <c r="Z41">
        <v>-1.8875679916974799</v>
      </c>
      <c r="AA41">
        <v>5.16052317679382</v>
      </c>
      <c r="AB41">
        <v>6.3667421789113998</v>
      </c>
    </row>
    <row r="42" spans="1:28" x14ac:dyDescent="0.25">
      <c r="A42">
        <v>40</v>
      </c>
      <c r="B42">
        <v>2021</v>
      </c>
      <c r="C42">
        <v>2</v>
      </c>
      <c r="D42">
        <v>2</v>
      </c>
      <c r="E42">
        <v>2.5114910768413101</v>
      </c>
      <c r="F42">
        <v>-3.2571589061519299</v>
      </c>
      <c r="G42">
        <v>3.88947019713483</v>
      </c>
      <c r="H42">
        <v>1.81261461733583</v>
      </c>
      <c r="I42">
        <v>-1.6199220944497601</v>
      </c>
      <c r="J42">
        <v>4.2794832161030998</v>
      </c>
      <c r="K42">
        <v>2.9862032999512</v>
      </c>
      <c r="L42">
        <v>-3.6361261966226599</v>
      </c>
      <c r="M42">
        <v>7.7452827586342501</v>
      </c>
      <c r="N42">
        <v>3.1188181304056002</v>
      </c>
      <c r="O42">
        <v>-3.8320821113544601</v>
      </c>
      <c r="P42">
        <v>7.8021370085251203</v>
      </c>
      <c r="Q42">
        <v>1.9716050714775499</v>
      </c>
      <c r="R42">
        <v>-1.8953737388566401</v>
      </c>
      <c r="S42">
        <v>4.9242354916430902</v>
      </c>
      <c r="T42">
        <v>-0.101042659444268</v>
      </c>
      <c r="U42">
        <v>2.9068468407577899</v>
      </c>
      <c r="V42">
        <v>9.4866824986994196</v>
      </c>
      <c r="W42">
        <v>-9.6217535574913707E-2</v>
      </c>
      <c r="X42">
        <v>2.93076114576247</v>
      </c>
      <c r="Y42">
        <v>9.4320313476712201</v>
      </c>
      <c r="Z42">
        <v>0.27073286760881399</v>
      </c>
      <c r="AA42">
        <v>2.1881664157465099</v>
      </c>
      <c r="AB42">
        <v>5.9186942842409396</v>
      </c>
    </row>
    <row r="43" spans="1:28" x14ac:dyDescent="0.25">
      <c r="A43">
        <v>41</v>
      </c>
      <c r="B43">
        <v>2022</v>
      </c>
      <c r="C43">
        <v>2</v>
      </c>
      <c r="D43">
        <v>2</v>
      </c>
      <c r="E43">
        <v>1.58193568143538</v>
      </c>
      <c r="F43">
        <v>-1.69289300559617</v>
      </c>
      <c r="G43">
        <v>2.5617201394276399</v>
      </c>
      <c r="H43">
        <v>0.89320587262056605</v>
      </c>
      <c r="I43">
        <v>-0.32459697966859102</v>
      </c>
      <c r="J43">
        <v>3.2544937925603601</v>
      </c>
      <c r="K43">
        <v>2.2069990837708802</v>
      </c>
      <c r="L43">
        <v>-1.29984084710841</v>
      </c>
      <c r="M43">
        <v>6.76598926719823</v>
      </c>
      <c r="N43">
        <v>2.16934758851058</v>
      </c>
      <c r="O43">
        <v>-1.23369852606495</v>
      </c>
      <c r="P43">
        <v>6.7492175397288801</v>
      </c>
      <c r="Q43">
        <v>1.53540829850631</v>
      </c>
      <c r="R43">
        <v>-1.3629834590544101</v>
      </c>
      <c r="S43">
        <v>3.9090763275219298</v>
      </c>
      <c r="T43">
        <v>-0.63641735568668201</v>
      </c>
      <c r="U43">
        <v>5.8205459276645799</v>
      </c>
      <c r="V43">
        <v>8.4540911438372</v>
      </c>
      <c r="W43">
        <v>-0.62774548520489304</v>
      </c>
      <c r="X43">
        <v>5.7590611087630901</v>
      </c>
      <c r="Y43">
        <v>8.4979160267766201</v>
      </c>
      <c r="Z43">
        <v>-0.25166375320432799</v>
      </c>
      <c r="AA43">
        <v>3.3085998048629102</v>
      </c>
      <c r="AB43">
        <v>6.4386108872546703</v>
      </c>
    </row>
    <row r="44" spans="1:28" x14ac:dyDescent="0.25">
      <c r="A44">
        <v>42</v>
      </c>
      <c r="B44">
        <v>2023</v>
      </c>
      <c r="C44">
        <v>2</v>
      </c>
      <c r="D44">
        <v>2</v>
      </c>
      <c r="E44">
        <v>0.24904944863048001</v>
      </c>
      <c r="F44">
        <v>-0.41737049594505099</v>
      </c>
      <c r="G44">
        <v>3.72471482023643</v>
      </c>
      <c r="H44">
        <v>0.373739095965959</v>
      </c>
      <c r="I44">
        <v>-0.22613379386847701</v>
      </c>
      <c r="J44">
        <v>4.6755630477547303</v>
      </c>
      <c r="K44">
        <v>0.39814053925881498</v>
      </c>
      <c r="L44">
        <v>0.71862406251585398</v>
      </c>
      <c r="M44">
        <v>6.5613030535998202</v>
      </c>
      <c r="N44">
        <v>0.55834491108615403</v>
      </c>
      <c r="O44">
        <v>0.43005985146410203</v>
      </c>
      <c r="P44">
        <v>6.5124235688536301</v>
      </c>
      <c r="Q44">
        <v>-0.14642110056062799</v>
      </c>
      <c r="R44">
        <v>0.91075838883433502</v>
      </c>
      <c r="S44">
        <v>4.6611568007227699</v>
      </c>
      <c r="T44">
        <v>-2.6999607353041699</v>
      </c>
      <c r="U44">
        <v>7.0374846195138598</v>
      </c>
      <c r="V44">
        <v>10.8690477293878</v>
      </c>
      <c r="W44">
        <v>-2.8671328524293398</v>
      </c>
      <c r="X44">
        <v>7.2912468592240502</v>
      </c>
      <c r="Y44">
        <v>10.822082213512299</v>
      </c>
      <c r="Z44">
        <v>-1.29185975214238</v>
      </c>
      <c r="AA44">
        <v>3.27443188001845</v>
      </c>
      <c r="AB44">
        <v>8.3414597506999204</v>
      </c>
    </row>
    <row r="45" spans="1:28" x14ac:dyDescent="0.25">
      <c r="A45">
        <v>43</v>
      </c>
      <c r="B45">
        <v>2025</v>
      </c>
      <c r="C45">
        <v>2</v>
      </c>
      <c r="D45">
        <v>2</v>
      </c>
      <c r="E45">
        <v>2.4485103289577101</v>
      </c>
      <c r="F45">
        <v>-0.18744353310925799</v>
      </c>
      <c r="G45">
        <v>5.52787479884267</v>
      </c>
      <c r="H45">
        <v>2.1043091701506098</v>
      </c>
      <c r="I45">
        <v>1.10054048694884</v>
      </c>
      <c r="J45">
        <v>6.4667845904834103</v>
      </c>
      <c r="K45">
        <v>0.66546075083408396</v>
      </c>
      <c r="L45">
        <v>2.90249353098302</v>
      </c>
      <c r="M45">
        <v>9.1670297370499192</v>
      </c>
      <c r="N45">
        <v>0.71768149990069297</v>
      </c>
      <c r="O45">
        <v>2.85194906669861</v>
      </c>
      <c r="P45">
        <v>9.1710861644899406</v>
      </c>
      <c r="Q45">
        <v>1.9974353540642</v>
      </c>
      <c r="R45">
        <v>0.73508292693331101</v>
      </c>
      <c r="S45">
        <v>6.7342102575285203</v>
      </c>
      <c r="T45">
        <v>-0.34419517306151198</v>
      </c>
      <c r="U45">
        <v>6.7733297753688904</v>
      </c>
      <c r="V45">
        <v>13.378480545416901</v>
      </c>
      <c r="W45">
        <v>-0.43142425481749003</v>
      </c>
      <c r="X45">
        <v>6.8659524735271296</v>
      </c>
      <c r="Y45">
        <v>13.3612008250025</v>
      </c>
      <c r="Z45">
        <v>0.78947270090900801</v>
      </c>
      <c r="AA45">
        <v>4.0936083245342596</v>
      </c>
      <c r="AB45">
        <v>9.0566791036792704</v>
      </c>
    </row>
    <row r="46" spans="1:28" x14ac:dyDescent="0.25">
      <c r="A46">
        <v>44</v>
      </c>
      <c r="B46">
        <v>2026</v>
      </c>
      <c r="C46">
        <v>2</v>
      </c>
      <c r="D46">
        <v>2</v>
      </c>
      <c r="E46">
        <v>-3.3397211507279101</v>
      </c>
      <c r="F46">
        <v>6.7338620966463401</v>
      </c>
      <c r="G46">
        <v>3.6784981286343399</v>
      </c>
      <c r="H46">
        <v>-2.8536697167937199</v>
      </c>
      <c r="I46">
        <v>5.9927378820248398</v>
      </c>
      <c r="J46">
        <v>4.7794927615234002</v>
      </c>
      <c r="K46">
        <v>-1.7232709609988099</v>
      </c>
      <c r="L46">
        <v>4.3881530084764897</v>
      </c>
      <c r="M46">
        <v>8.0846740474815508</v>
      </c>
      <c r="N46">
        <v>-1.7686686842932899</v>
      </c>
      <c r="O46">
        <v>4.4153439981501101</v>
      </c>
      <c r="P46">
        <v>8.0471620979450798</v>
      </c>
      <c r="Q46">
        <v>-2.9235486008538998</v>
      </c>
      <c r="R46">
        <v>6.7502994940271597</v>
      </c>
      <c r="S46">
        <v>4.7142154844630797</v>
      </c>
      <c r="T46">
        <v>-2.8046202007630199</v>
      </c>
      <c r="U46">
        <v>9.3833416063840396</v>
      </c>
      <c r="V46">
        <v>9.5060882362679706</v>
      </c>
      <c r="W46">
        <v>-2.6925121174781399</v>
      </c>
      <c r="X46">
        <v>9.2358681129356395</v>
      </c>
      <c r="Y46">
        <v>9.5016692545550399</v>
      </c>
      <c r="Z46">
        <v>-2.6773812140114801</v>
      </c>
      <c r="AA46">
        <v>7.3641171749824998</v>
      </c>
      <c r="AB46">
        <v>6.7373340681490603</v>
      </c>
    </row>
    <row r="47" spans="1:28" x14ac:dyDescent="0.25">
      <c r="A47">
        <v>45</v>
      </c>
      <c r="B47">
        <v>2027</v>
      </c>
      <c r="C47">
        <v>2</v>
      </c>
      <c r="D47">
        <v>2</v>
      </c>
      <c r="E47">
        <v>0.15385993062490599</v>
      </c>
      <c r="F47">
        <v>1.2452385652026601</v>
      </c>
      <c r="G47">
        <v>3.36327927593147</v>
      </c>
      <c r="H47">
        <v>-0.289144608035524</v>
      </c>
      <c r="I47">
        <v>2.20727891656467</v>
      </c>
      <c r="J47">
        <v>3.8345903504706098</v>
      </c>
      <c r="K47">
        <v>-0.35930722434201801</v>
      </c>
      <c r="L47">
        <v>3.53901924435378</v>
      </c>
      <c r="M47">
        <v>6.0396831088157201</v>
      </c>
      <c r="N47">
        <v>-0.15741157529462299</v>
      </c>
      <c r="O47">
        <v>3.1204752166448202</v>
      </c>
      <c r="P47">
        <v>6.0852025392639204</v>
      </c>
      <c r="Q47">
        <v>-0.15246629336063899</v>
      </c>
      <c r="R47">
        <v>2.3730223112709998</v>
      </c>
      <c r="S47">
        <v>4.5941852720906002</v>
      </c>
      <c r="T47">
        <v>-0.10006532915140399</v>
      </c>
      <c r="U47">
        <v>5.8292799270797104</v>
      </c>
      <c r="V47">
        <v>8.6883967148952905</v>
      </c>
      <c r="W47">
        <v>-4.60159762499028E-2</v>
      </c>
      <c r="X47">
        <v>5.7640714683608598</v>
      </c>
      <c r="Y47">
        <v>8.7018974943831608</v>
      </c>
      <c r="Z47">
        <v>-1.5724633075907699</v>
      </c>
      <c r="AA47">
        <v>5.8551700258051103</v>
      </c>
      <c r="AB47">
        <v>5.5873047633452702</v>
      </c>
    </row>
    <row r="48" spans="1:28" x14ac:dyDescent="0.25">
      <c r="A48">
        <v>46</v>
      </c>
      <c r="B48">
        <v>2033</v>
      </c>
      <c r="C48">
        <v>2</v>
      </c>
      <c r="D48">
        <v>2</v>
      </c>
      <c r="E48">
        <v>4.9888994848154997E-2</v>
      </c>
      <c r="F48">
        <v>2.2487844500207501</v>
      </c>
      <c r="G48">
        <v>3.5301110986389901</v>
      </c>
      <c r="H48">
        <v>-0.61657961600967004</v>
      </c>
      <c r="I48">
        <v>3.0056681588281999</v>
      </c>
      <c r="J48">
        <v>3.7433906404164201</v>
      </c>
      <c r="K48">
        <v>-0.21356858066288401</v>
      </c>
      <c r="L48">
        <v>4.2995497567383403</v>
      </c>
      <c r="M48">
        <v>5.9952711846722302</v>
      </c>
      <c r="N48">
        <v>-0.43056006552142301</v>
      </c>
      <c r="O48">
        <v>4.25858692901053</v>
      </c>
      <c r="P48">
        <v>5.9136465850022697</v>
      </c>
      <c r="Q48">
        <v>-0.30812156951152297</v>
      </c>
      <c r="R48">
        <v>3.8333114565878899</v>
      </c>
      <c r="S48">
        <v>4.4413721479442598</v>
      </c>
      <c r="T48">
        <v>-1.2929142839693999</v>
      </c>
      <c r="U48">
        <v>6.7545095622233502</v>
      </c>
      <c r="V48">
        <v>9.8633794105157904</v>
      </c>
      <c r="W48">
        <v>-1.5103291725211101</v>
      </c>
      <c r="X48">
        <v>7.09165360614106</v>
      </c>
      <c r="Y48">
        <v>9.9212757554422595</v>
      </c>
      <c r="Z48">
        <v>-1.27431717752493</v>
      </c>
      <c r="AA48">
        <v>5.0614601960148002</v>
      </c>
      <c r="AB48">
        <v>7.2925044911256203</v>
      </c>
    </row>
    <row r="49" spans="1:28" x14ac:dyDescent="0.25">
      <c r="A49">
        <v>47</v>
      </c>
      <c r="B49">
        <v>2034</v>
      </c>
      <c r="C49">
        <v>2</v>
      </c>
      <c r="D49">
        <v>2</v>
      </c>
      <c r="E49">
        <v>0.94391057334416295</v>
      </c>
      <c r="F49">
        <v>-0.55486317531471296</v>
      </c>
      <c r="G49">
        <v>4.4240928020938801</v>
      </c>
      <c r="H49">
        <v>1.2043709744503599</v>
      </c>
      <c r="I49">
        <v>-0.24020386351539999</v>
      </c>
      <c r="J49">
        <v>5.16405722563265</v>
      </c>
      <c r="K49">
        <v>-0.77202072829936697</v>
      </c>
      <c r="L49">
        <v>3.9777370372307002</v>
      </c>
      <c r="M49">
        <v>6.2060118204294801</v>
      </c>
      <c r="N49">
        <v>-0.75397554174418502</v>
      </c>
      <c r="O49">
        <v>3.9598054557357298</v>
      </c>
      <c r="P49">
        <v>6.2078421586552501</v>
      </c>
      <c r="Q49">
        <v>0.25835051908277001</v>
      </c>
      <c r="R49">
        <v>1.1563381727411599</v>
      </c>
      <c r="S49">
        <v>5.6210051316816996</v>
      </c>
      <c r="T49">
        <v>-0.98201773081350496</v>
      </c>
      <c r="U49">
        <v>6.7489415278228302</v>
      </c>
      <c r="V49">
        <v>11.019255289071999</v>
      </c>
      <c r="W49">
        <v>-0.97601572145887405</v>
      </c>
      <c r="X49">
        <v>6.7443055744690099</v>
      </c>
      <c r="Y49">
        <v>10.990609667961101</v>
      </c>
      <c r="Z49">
        <v>0.50764867355416998</v>
      </c>
      <c r="AA49">
        <v>2.5934464583946899</v>
      </c>
      <c r="AB49">
        <v>7.6759705273648802</v>
      </c>
    </row>
    <row r="50" spans="1:28" x14ac:dyDescent="0.25">
      <c r="A50">
        <v>48</v>
      </c>
      <c r="B50">
        <v>2037</v>
      </c>
      <c r="C50">
        <v>2</v>
      </c>
      <c r="D50">
        <v>2</v>
      </c>
      <c r="E50">
        <v>1.2026454005623599</v>
      </c>
      <c r="F50">
        <v>-7.5440022469906207E-2</v>
      </c>
      <c r="G50">
        <v>3.3067038165367202</v>
      </c>
      <c r="H50">
        <v>1.77842112306754</v>
      </c>
      <c r="I50">
        <v>-0.73397643068969798</v>
      </c>
      <c r="J50">
        <v>4.03422928549237</v>
      </c>
      <c r="K50">
        <v>1.0716596467988999</v>
      </c>
      <c r="L50">
        <v>0.73712442706798698</v>
      </c>
      <c r="M50">
        <v>6.2590664937251299</v>
      </c>
      <c r="N50">
        <v>0.85982127142591602</v>
      </c>
      <c r="O50">
        <v>0.95203422402410298</v>
      </c>
      <c r="P50">
        <v>6.3019006106309297</v>
      </c>
      <c r="Q50">
        <v>0.97460517066972896</v>
      </c>
      <c r="R50">
        <v>0.89348694533755801</v>
      </c>
      <c r="S50">
        <v>4.4966213841006297</v>
      </c>
      <c r="T50">
        <v>-2.5311917835740299</v>
      </c>
      <c r="U50">
        <v>7.6522467999439003</v>
      </c>
      <c r="V50">
        <v>9.4226549087038602</v>
      </c>
      <c r="W50">
        <v>-2.5996070590838301</v>
      </c>
      <c r="X50">
        <v>7.7272204659899302</v>
      </c>
      <c r="Y50">
        <v>9.4370694435515894</v>
      </c>
      <c r="Z50">
        <v>-6.4511912460668203E-2</v>
      </c>
      <c r="AA50">
        <v>2.6936315584439501</v>
      </c>
      <c r="AB50">
        <v>6.69199975515515</v>
      </c>
    </row>
    <row r="51" spans="1:28" x14ac:dyDescent="0.25">
      <c r="A51">
        <v>49</v>
      </c>
      <c r="B51">
        <v>2038</v>
      </c>
      <c r="C51">
        <v>2</v>
      </c>
      <c r="D51">
        <v>2</v>
      </c>
      <c r="E51">
        <v>-0.198450580632301</v>
      </c>
      <c r="F51">
        <v>0.83146823934255698</v>
      </c>
      <c r="G51">
        <v>3.4472421972120699</v>
      </c>
      <c r="H51">
        <v>-0.55792056280868796</v>
      </c>
      <c r="I51">
        <v>1.6528937510643</v>
      </c>
      <c r="J51">
        <v>4.0474131613528597</v>
      </c>
      <c r="K51">
        <v>1.01143581790779</v>
      </c>
      <c r="L51">
        <v>0.54440073720780102</v>
      </c>
      <c r="M51">
        <v>6.3665507019388299</v>
      </c>
      <c r="N51">
        <v>0.90362891600002404</v>
      </c>
      <c r="O51">
        <v>0.56696745640022295</v>
      </c>
      <c r="P51">
        <v>6.3745572767026699</v>
      </c>
      <c r="Q51">
        <v>0.116945462176897</v>
      </c>
      <c r="R51">
        <v>1.05475357149196</v>
      </c>
      <c r="S51">
        <v>4.4349283068949701</v>
      </c>
      <c r="T51">
        <v>-0.29766744120469502</v>
      </c>
      <c r="U51">
        <v>3.9070495099674898</v>
      </c>
      <c r="V51">
        <v>9.5548460183756205</v>
      </c>
      <c r="W51">
        <v>-0.36305826576019301</v>
      </c>
      <c r="X51">
        <v>3.9844184604771802</v>
      </c>
      <c r="Y51">
        <v>9.5714742357439899</v>
      </c>
      <c r="Z51">
        <v>-0.89278866827681203</v>
      </c>
      <c r="AA51">
        <v>3.8767031045123401</v>
      </c>
      <c r="AB51">
        <v>6.2605160506372197</v>
      </c>
    </row>
    <row r="52" spans="1:28" x14ac:dyDescent="0.25">
      <c r="A52">
        <v>50</v>
      </c>
      <c r="B52">
        <v>2039</v>
      </c>
      <c r="C52">
        <v>2</v>
      </c>
      <c r="D52">
        <v>2</v>
      </c>
      <c r="E52">
        <v>1.6893367793837399</v>
      </c>
      <c r="F52">
        <v>0.64126039223839004</v>
      </c>
      <c r="G52">
        <v>4.4001004089404701</v>
      </c>
      <c r="H52">
        <v>1.14082507602707</v>
      </c>
      <c r="I52">
        <v>2.5046242225831699</v>
      </c>
      <c r="J52">
        <v>4.8753515357224702</v>
      </c>
      <c r="K52">
        <v>1.2108228235615699</v>
      </c>
      <c r="L52">
        <v>2.9993113651758998</v>
      </c>
      <c r="M52">
        <v>7.6641573800991099</v>
      </c>
      <c r="N52">
        <v>1.2947647597509999</v>
      </c>
      <c r="O52">
        <v>2.8269231808834898</v>
      </c>
      <c r="P52">
        <v>7.6416029962918897</v>
      </c>
      <c r="Q52">
        <v>0.59834652888628204</v>
      </c>
      <c r="R52">
        <v>3.24066912352166</v>
      </c>
      <c r="S52">
        <v>5.3855624224057399</v>
      </c>
      <c r="T52">
        <v>-3.8166102540614602</v>
      </c>
      <c r="U52">
        <v>13.2886096408279</v>
      </c>
      <c r="V52">
        <v>9.57483271099799</v>
      </c>
      <c r="W52">
        <v>-3.9463879565396098</v>
      </c>
      <c r="X52">
        <v>13.4951433239812</v>
      </c>
      <c r="Y52">
        <v>9.5619908775353295</v>
      </c>
      <c r="Z52">
        <v>-1.21574359301697</v>
      </c>
      <c r="AA52">
        <v>7.2376825905195297</v>
      </c>
      <c r="AB52">
        <v>6.70581478941188</v>
      </c>
    </row>
    <row r="53" spans="1:28" x14ac:dyDescent="0.25">
      <c r="A53">
        <v>51</v>
      </c>
      <c r="B53">
        <v>2042</v>
      </c>
      <c r="C53">
        <v>2</v>
      </c>
      <c r="D53">
        <v>2</v>
      </c>
      <c r="E53">
        <v>-2.1666596863682002E-3</v>
      </c>
      <c r="F53">
        <v>1.5020030267362301</v>
      </c>
      <c r="G53">
        <v>2.09736638292167</v>
      </c>
      <c r="H53">
        <v>-5.3179744013923599E-2</v>
      </c>
      <c r="I53">
        <v>1.7439052711282801</v>
      </c>
      <c r="J53">
        <v>2.5550664232537601</v>
      </c>
      <c r="K53">
        <v>-0.41863753177361301</v>
      </c>
      <c r="L53">
        <v>3.81472222080285</v>
      </c>
      <c r="M53">
        <v>4.1764441269014796</v>
      </c>
      <c r="N53">
        <v>-0.457332758233299</v>
      </c>
      <c r="O53">
        <v>3.8345542482604702</v>
      </c>
      <c r="P53">
        <v>4.1752570058902396</v>
      </c>
      <c r="Q53">
        <v>-0.40747318417291101</v>
      </c>
      <c r="R53">
        <v>3.2317449504953202</v>
      </c>
      <c r="S53">
        <v>3.1460477436543899</v>
      </c>
      <c r="T53">
        <v>-1.91329425962633</v>
      </c>
      <c r="U53">
        <v>9.6169036588750298</v>
      </c>
      <c r="V53">
        <v>8.7052153248123805</v>
      </c>
      <c r="W53">
        <v>-1.5842560693768799</v>
      </c>
      <c r="X53">
        <v>9.0802400444011599</v>
      </c>
      <c r="Y53">
        <v>8.7286566538628101</v>
      </c>
      <c r="Z53">
        <v>-1.26924973901378</v>
      </c>
      <c r="AA53">
        <v>6.3369778934507099</v>
      </c>
      <c r="AB53">
        <v>5.7793799335093103</v>
      </c>
    </row>
    <row r="54" spans="1:28" x14ac:dyDescent="0.25">
      <c r="A54">
        <v>52</v>
      </c>
      <c r="B54">
        <v>2052</v>
      </c>
      <c r="C54">
        <v>2</v>
      </c>
      <c r="D54">
        <v>2</v>
      </c>
      <c r="E54">
        <v>1.4307681565057999</v>
      </c>
      <c r="F54">
        <v>0.92012978680041302</v>
      </c>
      <c r="G54">
        <v>3.2671971744549202</v>
      </c>
      <c r="H54">
        <v>1.31566343052787</v>
      </c>
      <c r="I54">
        <v>1.3664943733314701</v>
      </c>
      <c r="J54">
        <v>3.78438116714868</v>
      </c>
      <c r="K54">
        <v>0.34803875173395499</v>
      </c>
      <c r="L54">
        <v>4.6811351826426204</v>
      </c>
      <c r="M54">
        <v>5.5259318663666104</v>
      </c>
      <c r="N54">
        <v>0.39362250812944699</v>
      </c>
      <c r="O54">
        <v>4.5816504535790399</v>
      </c>
      <c r="P54">
        <v>5.5116246334722296</v>
      </c>
      <c r="Q54">
        <v>0.81313415828842395</v>
      </c>
      <c r="R54">
        <v>2.79494254013149</v>
      </c>
      <c r="S54">
        <v>4.3617813354441601</v>
      </c>
      <c r="T54">
        <v>-3.77672931427391</v>
      </c>
      <c r="U54">
        <v>11.187453849934</v>
      </c>
      <c r="V54">
        <v>10.174032646758</v>
      </c>
      <c r="W54">
        <v>-3.8376233750621398</v>
      </c>
      <c r="X54">
        <v>11.2979546826529</v>
      </c>
      <c r="Y54">
        <v>10.1700617127272</v>
      </c>
      <c r="Z54">
        <v>-1.72948938987848</v>
      </c>
      <c r="AA54">
        <v>6.7933360445692399</v>
      </c>
      <c r="AB54">
        <v>6.80622326924217</v>
      </c>
    </row>
    <row r="55" spans="1:28" x14ac:dyDescent="0.25">
      <c r="A55">
        <v>53</v>
      </c>
      <c r="B55">
        <v>2059</v>
      </c>
      <c r="C55">
        <v>2</v>
      </c>
      <c r="D55">
        <v>2</v>
      </c>
      <c r="E55">
        <v>-0.68207294623821502</v>
      </c>
      <c r="F55">
        <v>1.60836338531576</v>
      </c>
      <c r="G55">
        <v>3.5819247913906298</v>
      </c>
      <c r="H55">
        <v>-7.3309350564633294E-2</v>
      </c>
      <c r="I55">
        <v>1.0487446213966001</v>
      </c>
      <c r="J55">
        <v>4.7876697299084698</v>
      </c>
      <c r="K55">
        <v>-0.56361399798790401</v>
      </c>
      <c r="L55">
        <v>3.3178295569969101</v>
      </c>
      <c r="M55">
        <v>8.3409673209217505</v>
      </c>
      <c r="N55">
        <v>-0.50609465436909895</v>
      </c>
      <c r="O55">
        <v>3.1144110875282398</v>
      </c>
      <c r="P55">
        <v>8.4486226841569998</v>
      </c>
      <c r="Q55">
        <v>-0.33910886389552403</v>
      </c>
      <c r="R55">
        <v>1.89297648909342</v>
      </c>
      <c r="S55">
        <v>4.4101335899301004</v>
      </c>
      <c r="T55">
        <v>1.2766911028772301</v>
      </c>
      <c r="U55">
        <v>2.7048565639269602</v>
      </c>
      <c r="V55">
        <v>8.8089284052395005</v>
      </c>
      <c r="W55">
        <v>1.09420469043362</v>
      </c>
      <c r="X55">
        <v>2.9281427924366401</v>
      </c>
      <c r="Y55">
        <v>8.7746435561523093</v>
      </c>
      <c r="Z55">
        <v>-0.97331789033662597</v>
      </c>
      <c r="AA55">
        <v>3.6367359047486199</v>
      </c>
      <c r="AB55">
        <v>5.8538219090821002</v>
      </c>
    </row>
    <row r="56" spans="1:28" x14ac:dyDescent="0.25">
      <c r="A56">
        <v>54</v>
      </c>
      <c r="B56">
        <v>2062</v>
      </c>
      <c r="C56">
        <v>2</v>
      </c>
      <c r="D56">
        <v>2</v>
      </c>
      <c r="E56">
        <v>-0.27342802810570699</v>
      </c>
      <c r="F56">
        <v>0.63260580539984701</v>
      </c>
      <c r="G56">
        <v>6.4288443293694799</v>
      </c>
      <c r="H56">
        <v>-1.1174268250241099</v>
      </c>
      <c r="I56">
        <v>2.9093607973754798</v>
      </c>
      <c r="J56">
        <v>7.5253244163134498</v>
      </c>
      <c r="K56">
        <v>0.88449164625825705</v>
      </c>
      <c r="L56">
        <v>0.63090396695413498</v>
      </c>
      <c r="M56">
        <v>11.4106372213438</v>
      </c>
      <c r="N56">
        <v>0.78115002542860801</v>
      </c>
      <c r="O56">
        <v>0.89589498261887801</v>
      </c>
      <c r="P56">
        <v>11.1277223259299</v>
      </c>
      <c r="Q56">
        <v>-0.32170827755470899</v>
      </c>
      <c r="R56">
        <v>1.7389449316376</v>
      </c>
      <c r="S56">
        <v>8.0938267004935707</v>
      </c>
      <c r="T56">
        <v>-3.1343897493833799</v>
      </c>
      <c r="U56">
        <v>9.4444973742120197</v>
      </c>
      <c r="V56">
        <v>14.234378737607599</v>
      </c>
      <c r="W56">
        <v>-2.93507415269268</v>
      </c>
      <c r="X56">
        <v>9.3546955967761001</v>
      </c>
      <c r="Y56">
        <v>14.2845651162765</v>
      </c>
      <c r="Z56">
        <v>-1.2593883693282699</v>
      </c>
      <c r="AA56">
        <v>4.7333344246255704</v>
      </c>
      <c r="AB56">
        <v>10.298283663906901</v>
      </c>
    </row>
    <row r="57" spans="1:28" x14ac:dyDescent="0.25">
      <c r="A57">
        <v>55</v>
      </c>
      <c r="B57">
        <v>2082</v>
      </c>
      <c r="C57">
        <v>2</v>
      </c>
      <c r="D57">
        <v>2</v>
      </c>
      <c r="E57">
        <v>-2.1506581409903598</v>
      </c>
      <c r="F57">
        <v>4.8134478146037099</v>
      </c>
      <c r="G57">
        <v>10.243170910057099</v>
      </c>
      <c r="H57">
        <v>-2.0322400183818101</v>
      </c>
      <c r="I57">
        <v>5.6739213227343299</v>
      </c>
      <c r="J57">
        <v>10.638839104551099</v>
      </c>
      <c r="K57">
        <v>-3.15063722047491</v>
      </c>
      <c r="L57">
        <v>6.87800119750443</v>
      </c>
      <c r="M57">
        <v>14.578092361578699</v>
      </c>
      <c r="N57">
        <v>-3.0933089924436898</v>
      </c>
      <c r="O57">
        <v>6.9411734923820703</v>
      </c>
      <c r="P57">
        <v>14.5489332234015</v>
      </c>
      <c r="Q57">
        <v>-2.31824133281475</v>
      </c>
      <c r="R57">
        <v>5.4745382703916201</v>
      </c>
      <c r="S57">
        <v>11.5325683087824</v>
      </c>
      <c r="T57">
        <v>-2.1108449415158601</v>
      </c>
      <c r="U57">
        <v>8.3303220245200702</v>
      </c>
      <c r="V57">
        <v>16.453119982799901</v>
      </c>
      <c r="W57">
        <v>-1.56274395568589</v>
      </c>
      <c r="X57">
        <v>7.6923353152056997</v>
      </c>
      <c r="Y57">
        <v>16.429456209655399</v>
      </c>
      <c r="Z57">
        <v>-0.69539455766505998</v>
      </c>
      <c r="AA57">
        <v>4.7113119236538301</v>
      </c>
      <c r="AB57">
        <v>12.7577496199271</v>
      </c>
    </row>
    <row r="58" spans="1:28" x14ac:dyDescent="0.25">
      <c r="A58">
        <v>56</v>
      </c>
      <c r="B58">
        <v>2090</v>
      </c>
      <c r="C58">
        <v>2</v>
      </c>
      <c r="D58">
        <v>2</v>
      </c>
      <c r="E58">
        <v>4.5710862762735198</v>
      </c>
      <c r="F58">
        <v>1.8612117363930401</v>
      </c>
      <c r="G58">
        <v>6.5549241742227604</v>
      </c>
      <c r="H58">
        <v>4.3879117245736898</v>
      </c>
      <c r="I58">
        <v>4.1214648765368596</v>
      </c>
      <c r="J58">
        <v>7.5582104952586402</v>
      </c>
      <c r="K58">
        <v>4.0811998734186501</v>
      </c>
      <c r="L58">
        <v>-0.63131894484964302</v>
      </c>
      <c r="M58">
        <v>11.308790168805</v>
      </c>
      <c r="N58">
        <v>3.4808473137945199</v>
      </c>
      <c r="O58">
        <v>5.0054552214740297E-2</v>
      </c>
      <c r="P58">
        <v>11.204675139175899</v>
      </c>
      <c r="Q58">
        <v>5.2511922142067</v>
      </c>
      <c r="R58">
        <v>2.8678362900080199</v>
      </c>
      <c r="S58">
        <v>7.5345515794095599</v>
      </c>
      <c r="T58">
        <v>9.3595598605960308</v>
      </c>
      <c r="U58">
        <v>5.46224762730641</v>
      </c>
      <c r="V58">
        <v>11.492604631240701</v>
      </c>
      <c r="W58">
        <v>9.2633721886788596</v>
      </c>
      <c r="X58">
        <v>5.7205721003859802</v>
      </c>
      <c r="Y58">
        <v>11.3506263039649</v>
      </c>
      <c r="Z58">
        <v>4.51277361056089</v>
      </c>
      <c r="AA58">
        <v>9.31465447898149</v>
      </c>
      <c r="AB58">
        <v>8.8508443453264203</v>
      </c>
    </row>
    <row r="59" spans="1:28" x14ac:dyDescent="0.25">
      <c r="A59">
        <v>57</v>
      </c>
      <c r="B59">
        <v>2095</v>
      </c>
      <c r="C59">
        <v>2</v>
      </c>
      <c r="D59">
        <v>2</v>
      </c>
      <c r="E59">
        <v>2.2235493985911501</v>
      </c>
      <c r="F59">
        <v>-4.5084524526635201</v>
      </c>
      <c r="G59">
        <v>12.7573802489475</v>
      </c>
      <c r="H59">
        <v>2.95661583781281</v>
      </c>
      <c r="I59">
        <v>-5.3378056652948702</v>
      </c>
      <c r="J59">
        <v>14.156658621512699</v>
      </c>
      <c r="K59">
        <v>-4.8374150205403299E-4</v>
      </c>
      <c r="L59">
        <v>1.39374649580347</v>
      </c>
      <c r="M59">
        <v>11.519464728568799</v>
      </c>
      <c r="N59">
        <v>-0.141291781771198</v>
      </c>
      <c r="O59">
        <v>1.5677385174740299</v>
      </c>
      <c r="P59">
        <v>11.475798133238399</v>
      </c>
      <c r="Q59">
        <v>1.2764064852266701</v>
      </c>
      <c r="R59">
        <v>-2.2519595516552999</v>
      </c>
      <c r="S59">
        <v>12.963420313178201</v>
      </c>
      <c r="T59">
        <v>3.8091502764701</v>
      </c>
      <c r="U59">
        <v>-4.3318774112427398</v>
      </c>
      <c r="V59">
        <v>19.814620743841299</v>
      </c>
      <c r="W59">
        <v>3.5435621118536802</v>
      </c>
      <c r="X59">
        <v>-4.0413869243406104</v>
      </c>
      <c r="Y59">
        <v>19.8537960526516</v>
      </c>
      <c r="Z59">
        <v>3.2073706829604798</v>
      </c>
      <c r="AA59">
        <v>-5.9477214648695202</v>
      </c>
      <c r="AB59">
        <v>18.153457992459199</v>
      </c>
    </row>
    <row r="60" spans="1:28" x14ac:dyDescent="0.25">
      <c r="A60">
        <v>58</v>
      </c>
      <c r="B60">
        <v>2111</v>
      </c>
      <c r="C60">
        <v>2</v>
      </c>
      <c r="D60">
        <v>2</v>
      </c>
      <c r="E60">
        <v>-3.8798387394157698</v>
      </c>
      <c r="F60">
        <v>7.5160699900548202</v>
      </c>
      <c r="G60">
        <v>7.7950161936758402</v>
      </c>
      <c r="H60">
        <v>-4.0844889776918096</v>
      </c>
      <c r="I60">
        <v>8.6776519187901098</v>
      </c>
      <c r="J60">
        <v>8.9118387699439108</v>
      </c>
      <c r="K60">
        <v>-3.6350223649678202</v>
      </c>
      <c r="L60">
        <v>9.0299908308717907</v>
      </c>
      <c r="M60">
        <v>12.406437376139699</v>
      </c>
      <c r="N60">
        <v>-3.5238959030827801</v>
      </c>
      <c r="O60">
        <v>8.7733984473942197</v>
      </c>
      <c r="P60">
        <v>12.4675278283952</v>
      </c>
      <c r="Q60">
        <v>-2.8643440953337298</v>
      </c>
      <c r="R60">
        <v>8.2064784738554408</v>
      </c>
      <c r="S60">
        <v>9.5064527864362205</v>
      </c>
      <c r="T60">
        <v>-1.4933069084497299</v>
      </c>
      <c r="U60">
        <v>11.0446187994068</v>
      </c>
      <c r="V60">
        <v>14.9565776881798</v>
      </c>
      <c r="W60">
        <v>-1.29446412970291</v>
      </c>
      <c r="X60">
        <v>10.8287759849796</v>
      </c>
      <c r="Y60">
        <v>14.863228114426001</v>
      </c>
      <c r="Z60">
        <v>-2.1752494144641101</v>
      </c>
      <c r="AA60">
        <v>7.0297540170893402</v>
      </c>
      <c r="AB60">
        <v>13.0501128260203</v>
      </c>
    </row>
    <row r="61" spans="1:28" x14ac:dyDescent="0.25">
      <c r="A61">
        <v>59</v>
      </c>
      <c r="B61">
        <v>2117</v>
      </c>
      <c r="C61">
        <v>2</v>
      </c>
      <c r="D61">
        <v>2</v>
      </c>
      <c r="E61">
        <v>-0.14752530799177099</v>
      </c>
      <c r="F61">
        <v>1.0795733440958999</v>
      </c>
      <c r="G61">
        <v>4.0136541550026701</v>
      </c>
      <c r="H61">
        <v>0.56561794142822996</v>
      </c>
      <c r="I61">
        <v>0.34978579803028798</v>
      </c>
      <c r="J61">
        <v>5.1993290075294398</v>
      </c>
      <c r="K61">
        <v>0.19727403265880999</v>
      </c>
      <c r="L61">
        <v>1.92482483013441</v>
      </c>
      <c r="M61">
        <v>7.5464558709470202</v>
      </c>
      <c r="N61">
        <v>8.8406509335733994E-3</v>
      </c>
      <c r="O61">
        <v>2.3433065804994402</v>
      </c>
      <c r="P61">
        <v>7.3223519604673202</v>
      </c>
      <c r="Q61">
        <v>-0.30334373784031599</v>
      </c>
      <c r="R61">
        <v>2.01650040320312</v>
      </c>
      <c r="S61">
        <v>5.0699462470599999</v>
      </c>
      <c r="T61">
        <v>0.60027051348879101</v>
      </c>
      <c r="U61">
        <v>3.5076025641642401</v>
      </c>
      <c r="V61">
        <v>10.8526229426369</v>
      </c>
      <c r="W61">
        <v>0.50596867448791405</v>
      </c>
      <c r="X61">
        <v>3.6397283976881298</v>
      </c>
      <c r="Y61">
        <v>10.8541704588537</v>
      </c>
      <c r="Z61">
        <v>1.20402262602999</v>
      </c>
      <c r="AA61">
        <v>0.89898498233013602</v>
      </c>
      <c r="AB61">
        <v>8.0852991204533602</v>
      </c>
    </row>
    <row r="62" spans="1:28" x14ac:dyDescent="0.25">
      <c r="A62">
        <v>60</v>
      </c>
      <c r="B62">
        <v>3029</v>
      </c>
      <c r="C62">
        <v>3</v>
      </c>
      <c r="D62">
        <v>2</v>
      </c>
      <c r="E62">
        <v>4.7703167793922798</v>
      </c>
      <c r="F62">
        <v>-1.3304942966398301</v>
      </c>
      <c r="G62">
        <v>5.1175433381291402</v>
      </c>
      <c r="H62">
        <v>4.7656559181139704</v>
      </c>
      <c r="I62">
        <v>0.102939342572738</v>
      </c>
      <c r="J62">
        <v>6.1563700666062804</v>
      </c>
      <c r="K62">
        <v>2.1752258668548099</v>
      </c>
      <c r="L62">
        <v>2.9826543883924099</v>
      </c>
      <c r="M62">
        <v>9.1819522162296003</v>
      </c>
      <c r="N62">
        <v>2.18015566953351</v>
      </c>
      <c r="O62">
        <v>3.0889536511129401</v>
      </c>
      <c r="P62">
        <v>9.0482407731644603</v>
      </c>
      <c r="Q62">
        <v>4.8486686995400499</v>
      </c>
      <c r="R62">
        <v>-0.488120934399289</v>
      </c>
      <c r="S62">
        <v>6.9023043060848304</v>
      </c>
      <c r="T62">
        <v>2.3982264718573298</v>
      </c>
      <c r="U62">
        <v>8.2004530762908399</v>
      </c>
      <c r="V62">
        <v>12.542004223136299</v>
      </c>
      <c r="W62">
        <v>3.1678088629549102</v>
      </c>
      <c r="X62">
        <v>7.2663707723200801</v>
      </c>
      <c r="Y62">
        <v>12.6925910066933</v>
      </c>
      <c r="Z62">
        <v>3.0065707824602299</v>
      </c>
      <c r="AA62">
        <v>4.3464950915477596</v>
      </c>
      <c r="AB62">
        <v>9.4132696332667205</v>
      </c>
    </row>
    <row r="63" spans="1:28" x14ac:dyDescent="0.25">
      <c r="A63">
        <v>61</v>
      </c>
      <c r="B63">
        <v>3034</v>
      </c>
      <c r="C63">
        <v>3</v>
      </c>
      <c r="D63">
        <v>2</v>
      </c>
      <c r="E63">
        <v>-1.7469114546989899</v>
      </c>
      <c r="F63">
        <v>4.4497631632104504</v>
      </c>
      <c r="G63">
        <v>7.5600630230676096</v>
      </c>
      <c r="H63">
        <v>-1.41257744477716</v>
      </c>
      <c r="I63">
        <v>4.6806950783479504</v>
      </c>
      <c r="J63">
        <v>8.8567352915015203</v>
      </c>
      <c r="K63">
        <v>-2.1000913763309801</v>
      </c>
      <c r="L63">
        <v>6.3829156993374898</v>
      </c>
      <c r="M63">
        <v>11.1585101879029</v>
      </c>
      <c r="N63">
        <v>-2.0098264648203101</v>
      </c>
      <c r="O63">
        <v>6.2602210163360503</v>
      </c>
      <c r="P63">
        <v>11.122962011914799</v>
      </c>
      <c r="Q63">
        <v>-2.1251749695585298</v>
      </c>
      <c r="R63">
        <v>5.9517594029999703</v>
      </c>
      <c r="S63">
        <v>8.9121630596958497</v>
      </c>
      <c r="T63">
        <v>-0.88436465797956199</v>
      </c>
      <c r="U63">
        <v>6.7092644529408103</v>
      </c>
      <c r="V63">
        <v>16.398126607453001</v>
      </c>
      <c r="W63">
        <v>-1.0115138406484701</v>
      </c>
      <c r="X63">
        <v>6.8862269539854504</v>
      </c>
      <c r="Y63">
        <v>16.346292349261201</v>
      </c>
      <c r="Z63">
        <v>-8.1065287571291306E-2</v>
      </c>
      <c r="AA63">
        <v>4.4390734175151803</v>
      </c>
      <c r="AB63">
        <v>11.280941657667301</v>
      </c>
    </row>
    <row r="64" spans="1:28" x14ac:dyDescent="0.25">
      <c r="A64">
        <v>62</v>
      </c>
      <c r="B64">
        <v>3039</v>
      </c>
      <c r="C64">
        <v>3</v>
      </c>
      <c r="D64">
        <v>2</v>
      </c>
      <c r="E64">
        <v>-1.94303735965513</v>
      </c>
      <c r="F64">
        <v>4.2023634964893599</v>
      </c>
      <c r="G64">
        <v>4.9996698458572197</v>
      </c>
      <c r="H64">
        <v>-2.2664376203365899</v>
      </c>
      <c r="I64">
        <v>5.2298553978224103</v>
      </c>
      <c r="J64">
        <v>5.5539716346528296</v>
      </c>
      <c r="K64">
        <v>-1.1274684347027799</v>
      </c>
      <c r="L64">
        <v>4.88431529714991</v>
      </c>
      <c r="M64">
        <v>8.4448382794026404</v>
      </c>
      <c r="N64">
        <v>-1.2512591228238199</v>
      </c>
      <c r="O64">
        <v>4.9862051049677296</v>
      </c>
      <c r="P64">
        <v>8.4472734132251794</v>
      </c>
      <c r="Q64">
        <v>-2.5704591247021402</v>
      </c>
      <c r="R64">
        <v>5.66024414620931</v>
      </c>
      <c r="S64">
        <v>5.8683506018282401</v>
      </c>
      <c r="T64">
        <v>-2.0309301251230298</v>
      </c>
      <c r="U64">
        <v>7.5814109292564904</v>
      </c>
      <c r="V64">
        <v>8.9991821468116608</v>
      </c>
      <c r="W64">
        <v>-1.93743928085729</v>
      </c>
      <c r="X64">
        <v>7.4868119299340599</v>
      </c>
      <c r="Y64">
        <v>9.0282261505243895</v>
      </c>
      <c r="Z64">
        <v>-3.2604886753412101</v>
      </c>
      <c r="AA64">
        <v>8.0968615713768592</v>
      </c>
      <c r="AB64">
        <v>6.3761336087736797</v>
      </c>
    </row>
    <row r="65" spans="1:28" x14ac:dyDescent="0.25">
      <c r="A65">
        <v>63</v>
      </c>
      <c r="B65">
        <v>3053</v>
      </c>
      <c r="C65">
        <v>3</v>
      </c>
      <c r="D65">
        <v>2</v>
      </c>
      <c r="E65">
        <v>2.2631976046621101</v>
      </c>
      <c r="F65">
        <v>-1.37359974514434</v>
      </c>
      <c r="G65">
        <v>5.0036383790059</v>
      </c>
      <c r="H65">
        <v>1.8563533125073901</v>
      </c>
      <c r="I65">
        <v>-0.38911406006346899</v>
      </c>
      <c r="J65">
        <v>5.8103564986045599</v>
      </c>
      <c r="K65">
        <v>-1.4804101627434301</v>
      </c>
      <c r="L65">
        <v>6.1782771738990299</v>
      </c>
      <c r="M65">
        <v>9.07748352346497</v>
      </c>
      <c r="N65">
        <v>-1.1037852185124</v>
      </c>
      <c r="O65">
        <v>5.60317416117232</v>
      </c>
      <c r="P65">
        <v>9.1302701066756704</v>
      </c>
      <c r="Q65">
        <v>1.32896136438308</v>
      </c>
      <c r="R65">
        <v>1.03053765703613</v>
      </c>
      <c r="S65">
        <v>6.19057847094225</v>
      </c>
      <c r="T65">
        <v>1.3046943323406399</v>
      </c>
      <c r="U65">
        <v>4.2351022101653903</v>
      </c>
      <c r="V65">
        <v>9.2312790747290308</v>
      </c>
      <c r="W65">
        <v>1.05802342785279</v>
      </c>
      <c r="X65">
        <v>4.3612351552878401</v>
      </c>
      <c r="Y65">
        <v>9.3293140303423403</v>
      </c>
      <c r="Z65">
        <v>1.0411392841642</v>
      </c>
      <c r="AA65">
        <v>1.6997302452787899</v>
      </c>
      <c r="AB65">
        <v>7.2661203112796198</v>
      </c>
    </row>
    <row r="66" spans="1:28" x14ac:dyDescent="0.25">
      <c r="A66">
        <v>64</v>
      </c>
      <c r="B66">
        <v>3063</v>
      </c>
      <c r="C66">
        <v>3</v>
      </c>
      <c r="D66">
        <v>2</v>
      </c>
      <c r="E66">
        <v>2.3643905189386598</v>
      </c>
      <c r="F66">
        <v>-1.83154944596207</v>
      </c>
      <c r="G66">
        <v>7.0160485039917999</v>
      </c>
      <c r="H66">
        <v>1.8457177632108299</v>
      </c>
      <c r="I66">
        <v>-0.58477909864858901</v>
      </c>
      <c r="J66">
        <v>8.0420222598968305</v>
      </c>
      <c r="K66">
        <v>0.71806518626647098</v>
      </c>
      <c r="L66">
        <v>1.48148822848914</v>
      </c>
      <c r="M66">
        <v>9.8870361724918805</v>
      </c>
      <c r="N66">
        <v>0.40296403139055598</v>
      </c>
      <c r="O66">
        <v>2.2726707226617902</v>
      </c>
      <c r="P66">
        <v>9.4709698035612409</v>
      </c>
      <c r="Q66">
        <v>2.34560056521393</v>
      </c>
      <c r="R66">
        <v>-0.90760941379571103</v>
      </c>
      <c r="S66">
        <v>10.5602638234443</v>
      </c>
      <c r="T66">
        <v>0.43040140261499699</v>
      </c>
      <c r="U66">
        <v>4.6582338101815903</v>
      </c>
      <c r="V66">
        <v>14.8370528501246</v>
      </c>
      <c r="W66">
        <v>0.90286956041028099</v>
      </c>
      <c r="X66">
        <v>3.70531567273922</v>
      </c>
      <c r="Y66">
        <v>15.300759157566601</v>
      </c>
      <c r="Z66">
        <v>2.6443844125212199</v>
      </c>
      <c r="AA66">
        <v>-0.85124934712994005</v>
      </c>
      <c r="AB66">
        <v>10.2619724706933</v>
      </c>
    </row>
    <row r="67" spans="1:28" x14ac:dyDescent="0.25">
      <c r="A67">
        <v>65</v>
      </c>
      <c r="B67">
        <v>3072</v>
      </c>
      <c r="C67">
        <v>3</v>
      </c>
      <c r="D67">
        <v>2</v>
      </c>
      <c r="E67">
        <v>-6.4297483447663399</v>
      </c>
      <c r="F67">
        <v>13.0925464043235</v>
      </c>
      <c r="G67">
        <v>6.2413061634911102</v>
      </c>
      <c r="H67">
        <v>-7.7515557948935099</v>
      </c>
      <c r="I67">
        <v>16.442322357195099</v>
      </c>
      <c r="J67">
        <v>7.6789260054256303</v>
      </c>
      <c r="K67">
        <v>-3.1578908143104401</v>
      </c>
      <c r="L67">
        <v>6.9000533469763496</v>
      </c>
      <c r="M67">
        <v>12.880408559116299</v>
      </c>
      <c r="N67">
        <v>-3.4173116665130401</v>
      </c>
      <c r="O67">
        <v>7.4772220874750301</v>
      </c>
      <c r="P67">
        <v>12.649251341116599</v>
      </c>
      <c r="Q67">
        <v>-8.6567588227884595</v>
      </c>
      <c r="R67">
        <v>18.581825624598299</v>
      </c>
      <c r="S67">
        <v>7.7864609850829298</v>
      </c>
      <c r="T67">
        <v>-13.538249229189899</v>
      </c>
      <c r="U67">
        <v>31.1479100843586</v>
      </c>
      <c r="V67">
        <v>12.791709773705399</v>
      </c>
      <c r="W67">
        <v>-12.961205387525199</v>
      </c>
      <c r="X67">
        <v>30.243859826638602</v>
      </c>
      <c r="Y67">
        <v>12.818651666441299</v>
      </c>
      <c r="Z67">
        <v>-10.1973562341211</v>
      </c>
      <c r="AA67">
        <v>21.198177781144601</v>
      </c>
      <c r="AB67">
        <v>9.9553179137372307</v>
      </c>
    </row>
    <row r="68" spans="1:28" x14ac:dyDescent="0.25">
      <c r="A68">
        <v>66</v>
      </c>
      <c r="B68">
        <v>3077</v>
      </c>
      <c r="C68">
        <v>3</v>
      </c>
      <c r="D68">
        <v>2</v>
      </c>
      <c r="E68">
        <v>1.74911262923208</v>
      </c>
      <c r="F68">
        <v>-0.30739956864322499</v>
      </c>
      <c r="G68">
        <v>8.4643041778238395</v>
      </c>
      <c r="H68">
        <v>1.7200479721044799</v>
      </c>
      <c r="I68">
        <v>-0.16028745007753101</v>
      </c>
      <c r="J68">
        <v>9.9262138266473698</v>
      </c>
      <c r="K68">
        <v>1.24103563275151</v>
      </c>
      <c r="L68">
        <v>3.1519741262791601</v>
      </c>
      <c r="M68">
        <v>13.396790770668201</v>
      </c>
      <c r="N68">
        <v>0.62135739131463996</v>
      </c>
      <c r="O68">
        <v>3.9082571456134199</v>
      </c>
      <c r="P68">
        <v>13.290472615669399</v>
      </c>
      <c r="Q68">
        <v>2.5808692037609</v>
      </c>
      <c r="R68">
        <v>-0.33298599114215499</v>
      </c>
      <c r="S68">
        <v>9.8527444780476596</v>
      </c>
      <c r="T68">
        <v>2.4399313864896999</v>
      </c>
      <c r="U68">
        <v>0.80923217203438402</v>
      </c>
      <c r="V68">
        <v>15.607299505930801</v>
      </c>
      <c r="W68">
        <v>2.93956144358576</v>
      </c>
      <c r="X68">
        <v>0.191585627679217</v>
      </c>
      <c r="Y68">
        <v>15.5167773415805</v>
      </c>
      <c r="Z68">
        <v>2.4165921975131202</v>
      </c>
      <c r="AA68">
        <v>-1.3500477448542201</v>
      </c>
      <c r="AB68">
        <v>12.7556911179904</v>
      </c>
    </row>
    <row r="69" spans="1:28" x14ac:dyDescent="0.25">
      <c r="A69">
        <v>67</v>
      </c>
      <c r="B69">
        <v>3103</v>
      </c>
      <c r="C69">
        <v>3</v>
      </c>
      <c r="D69">
        <v>2</v>
      </c>
      <c r="E69">
        <v>2.95818426743205</v>
      </c>
      <c r="F69">
        <v>-2.9622401992440102</v>
      </c>
      <c r="G69">
        <v>5.5727788388815904</v>
      </c>
      <c r="H69">
        <v>2.7557672145472001</v>
      </c>
      <c r="I69">
        <v>-1.9980169784922599</v>
      </c>
      <c r="J69">
        <v>6.4254307081330797</v>
      </c>
      <c r="K69">
        <v>3.1051350674032601</v>
      </c>
      <c r="L69">
        <v>-1.2114197159889999</v>
      </c>
      <c r="M69">
        <v>10.2463951171639</v>
      </c>
      <c r="N69">
        <v>3.08685940432943</v>
      </c>
      <c r="O69">
        <v>-1.21155014650863</v>
      </c>
      <c r="P69">
        <v>10.2469454507691</v>
      </c>
      <c r="Q69">
        <v>2.30107476463782</v>
      </c>
      <c r="R69">
        <v>-0.97995162223339904</v>
      </c>
      <c r="S69">
        <v>6.44631732924978</v>
      </c>
      <c r="T69">
        <v>1.66388268309196</v>
      </c>
      <c r="U69">
        <v>3.37768627586301</v>
      </c>
      <c r="V69">
        <v>10.1367238346715</v>
      </c>
      <c r="W69">
        <v>1.4859633164255299</v>
      </c>
      <c r="X69">
        <v>3.6804252562965099</v>
      </c>
      <c r="Y69">
        <v>10.148741533408501</v>
      </c>
      <c r="Z69">
        <v>2.3809920400565199</v>
      </c>
      <c r="AA69">
        <v>0.71212709668530905</v>
      </c>
      <c r="AB69">
        <v>7.7694651435288398</v>
      </c>
    </row>
    <row r="70" spans="1:28" x14ac:dyDescent="0.25">
      <c r="A70">
        <v>68</v>
      </c>
      <c r="B70">
        <v>3107</v>
      </c>
      <c r="C70">
        <v>3</v>
      </c>
      <c r="D70">
        <v>2</v>
      </c>
      <c r="E70">
        <v>4.5999129068272699</v>
      </c>
      <c r="F70">
        <v>5.9548046759920203E-2</v>
      </c>
      <c r="G70">
        <v>3.1025179798155902</v>
      </c>
      <c r="H70">
        <v>5.5847510515728098</v>
      </c>
      <c r="I70">
        <v>-0.290944256855589</v>
      </c>
      <c r="J70">
        <v>4.2996574924834201</v>
      </c>
      <c r="K70">
        <v>-1.2908853198232999</v>
      </c>
      <c r="L70">
        <v>8.8667566655017005</v>
      </c>
      <c r="M70">
        <v>7.2690489516113201</v>
      </c>
      <c r="N70">
        <v>-1.1632833394607101</v>
      </c>
      <c r="O70">
        <v>8.7046740292765392</v>
      </c>
      <c r="P70">
        <v>7.2962550396249704</v>
      </c>
      <c r="Q70">
        <v>6.2187049314847096</v>
      </c>
      <c r="R70">
        <v>-1.00214297262271</v>
      </c>
      <c r="S70">
        <v>4.8880104577440502</v>
      </c>
      <c r="T70">
        <v>5.3982246361071802</v>
      </c>
      <c r="U70">
        <v>4.0583574299551399</v>
      </c>
      <c r="V70">
        <v>9.7437804324548907</v>
      </c>
      <c r="W70">
        <v>5.7492389412819902</v>
      </c>
      <c r="X70">
        <v>3.7132049781029202</v>
      </c>
      <c r="Y70">
        <v>9.7679131552932397</v>
      </c>
      <c r="Z70">
        <v>4.8603407010175204</v>
      </c>
      <c r="AA70">
        <v>2.2520558419171701</v>
      </c>
      <c r="AB70">
        <v>6.6576846462450199</v>
      </c>
    </row>
    <row r="71" spans="1:28" x14ac:dyDescent="0.25">
      <c r="A71">
        <v>69</v>
      </c>
      <c r="B71">
        <v>3006</v>
      </c>
      <c r="C71">
        <v>3</v>
      </c>
      <c r="D71">
        <v>2</v>
      </c>
      <c r="E71">
        <v>4.5485245125854101</v>
      </c>
      <c r="F71">
        <v>-3.31355659169306</v>
      </c>
      <c r="G71">
        <v>6.2196703029007097</v>
      </c>
      <c r="H71">
        <v>4.6397224469919403</v>
      </c>
      <c r="I71">
        <v>-2.47774474165757</v>
      </c>
      <c r="J71">
        <v>7.1448178981434598</v>
      </c>
      <c r="K71">
        <v>1.8199954084816301</v>
      </c>
      <c r="L71">
        <v>3.3588286816487498</v>
      </c>
      <c r="M71">
        <v>11.3148417557498</v>
      </c>
      <c r="N71">
        <v>2.1587175666763501</v>
      </c>
      <c r="O71">
        <v>2.93054661310055</v>
      </c>
      <c r="P71">
        <v>11.316192740235</v>
      </c>
      <c r="Q71">
        <v>5.1674221559667997</v>
      </c>
      <c r="R71">
        <v>-1.2356350354293</v>
      </c>
      <c r="S71">
        <v>7.25390163768237</v>
      </c>
      <c r="T71">
        <v>6.8212734738510798</v>
      </c>
      <c r="U71">
        <v>-0.44485890502964598</v>
      </c>
      <c r="V71">
        <v>12.516948183851801</v>
      </c>
      <c r="W71">
        <v>6.9871244853336503</v>
      </c>
      <c r="X71">
        <v>-0.65284432085258204</v>
      </c>
      <c r="Y71">
        <v>12.5651613022474</v>
      </c>
      <c r="Z71">
        <v>6.8712306841581396</v>
      </c>
      <c r="AA71">
        <v>-4.8187188068371603</v>
      </c>
      <c r="AB71">
        <v>10.360234081563499</v>
      </c>
    </row>
    <row r="72" spans="1:28" x14ac:dyDescent="0.25">
      <c r="A72">
        <v>70</v>
      </c>
      <c r="B72">
        <v>3007</v>
      </c>
      <c r="C72">
        <v>3</v>
      </c>
      <c r="D72">
        <v>2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  <c r="T72" t="s">
        <v>20</v>
      </c>
      <c r="U72" t="s">
        <v>20</v>
      </c>
      <c r="V72" t="s">
        <v>20</v>
      </c>
      <c r="W72" t="s">
        <v>20</v>
      </c>
      <c r="X72" t="s">
        <v>20</v>
      </c>
      <c r="Y72" t="s">
        <v>20</v>
      </c>
      <c r="Z72" t="s">
        <v>20</v>
      </c>
      <c r="AA72" t="s">
        <v>20</v>
      </c>
      <c r="AB72" t="s">
        <v>20</v>
      </c>
    </row>
    <row r="73" spans="1:28" x14ac:dyDescent="0.25">
      <c r="A73">
        <v>71</v>
      </c>
      <c r="B73">
        <v>3008</v>
      </c>
      <c r="C73">
        <v>3</v>
      </c>
      <c r="D73">
        <v>2</v>
      </c>
      <c r="E73">
        <v>1.3361358331369599</v>
      </c>
      <c r="F73">
        <v>0.77013688152762105</v>
      </c>
      <c r="G73">
        <v>3.5866541570129198</v>
      </c>
      <c r="H73">
        <v>0.80910081122607302</v>
      </c>
      <c r="I73">
        <v>1.35472932338938</v>
      </c>
      <c r="J73">
        <v>4.7505733379066104</v>
      </c>
      <c r="K73">
        <v>1.45043005663547</v>
      </c>
      <c r="L73">
        <v>1.95144203364115</v>
      </c>
      <c r="M73">
        <v>6.6449340411893001</v>
      </c>
      <c r="N73">
        <v>1.53524774768911</v>
      </c>
      <c r="O73">
        <v>1.8420046944019699</v>
      </c>
      <c r="P73">
        <v>6.6621798563545802</v>
      </c>
      <c r="Q73">
        <v>0.87718369618093195</v>
      </c>
      <c r="R73">
        <v>1.8678561153619699</v>
      </c>
      <c r="S73">
        <v>4.7999862550027004</v>
      </c>
      <c r="T73">
        <v>-2.0773660559634202</v>
      </c>
      <c r="U73">
        <v>9.3234608369331902</v>
      </c>
      <c r="V73">
        <v>8.7541603780654</v>
      </c>
      <c r="W73">
        <v>-2.18444529086835</v>
      </c>
      <c r="X73">
        <v>9.5178973617568001</v>
      </c>
      <c r="Y73">
        <v>8.7175901549092103</v>
      </c>
      <c r="Z73">
        <v>-0.77482867293824698</v>
      </c>
      <c r="AA73">
        <v>5.16155777401897</v>
      </c>
      <c r="AB73">
        <v>6.8310713374247802</v>
      </c>
    </row>
    <row r="74" spans="1:28" x14ac:dyDescent="0.25">
      <c r="A74">
        <v>72</v>
      </c>
      <c r="B74">
        <v>3010</v>
      </c>
      <c r="C74">
        <v>3</v>
      </c>
      <c r="D74">
        <v>2</v>
      </c>
      <c r="E74">
        <v>4.7278876892308901</v>
      </c>
      <c r="F74">
        <v>-4.2474576745996</v>
      </c>
      <c r="G74">
        <v>7.3242112489370399</v>
      </c>
      <c r="H74">
        <v>4.2153638803387299</v>
      </c>
      <c r="I74">
        <v>-2.8496980001484</v>
      </c>
      <c r="J74">
        <v>8.0863892891027707</v>
      </c>
      <c r="K74">
        <v>2.4683889158653698</v>
      </c>
      <c r="L74">
        <v>1.68686230384208</v>
      </c>
      <c r="M74">
        <v>11.734894607736599</v>
      </c>
      <c r="N74">
        <v>2.6994197168922698</v>
      </c>
      <c r="O74">
        <v>1.31476123872427</v>
      </c>
      <c r="P74">
        <v>11.826891055505</v>
      </c>
      <c r="Q74">
        <v>3.3606059945621598</v>
      </c>
      <c r="R74">
        <v>-1.18976948597483</v>
      </c>
      <c r="S74">
        <v>8.2372518985691592</v>
      </c>
      <c r="T74">
        <v>5.6536032192322901E-2</v>
      </c>
      <c r="U74">
        <v>7.1880222544735402</v>
      </c>
      <c r="V74">
        <v>11.9017317553803</v>
      </c>
      <c r="W74">
        <v>0.151850056320425</v>
      </c>
      <c r="X74">
        <v>7.0361599082492399</v>
      </c>
      <c r="Y74">
        <v>11.958616763442</v>
      </c>
      <c r="Z74">
        <v>1.9212758258218401</v>
      </c>
      <c r="AA74">
        <v>1.6639561351342</v>
      </c>
      <c r="AB74">
        <v>10.0729824441911</v>
      </c>
    </row>
    <row r="75" spans="1:28" x14ac:dyDescent="0.25">
      <c r="A75">
        <v>73</v>
      </c>
      <c r="B75">
        <v>3021</v>
      </c>
      <c r="C75">
        <v>3</v>
      </c>
      <c r="D75">
        <v>2</v>
      </c>
      <c r="E75">
        <v>-0.43932455719434299</v>
      </c>
      <c r="F75">
        <v>4.1298551449089702</v>
      </c>
      <c r="G75">
        <v>6.89533618438952</v>
      </c>
      <c r="H75">
        <v>-0.61981500697546399</v>
      </c>
      <c r="I75">
        <v>4.9349616950514896</v>
      </c>
      <c r="J75">
        <v>8.4005694052978903</v>
      </c>
      <c r="K75">
        <v>-0.75812995934535898</v>
      </c>
      <c r="L75">
        <v>6.3003096591442604</v>
      </c>
      <c r="M75">
        <v>13.189864176</v>
      </c>
      <c r="N75">
        <v>-0.79047502174789896</v>
      </c>
      <c r="O75">
        <v>6.2197687626768401</v>
      </c>
      <c r="P75">
        <v>13.2120006465586</v>
      </c>
      <c r="Q75">
        <v>-0.78190341535978303</v>
      </c>
      <c r="R75">
        <v>5.3075575074977701</v>
      </c>
      <c r="S75">
        <v>8.9354450558292999</v>
      </c>
      <c r="T75">
        <v>-1.7116290348268901</v>
      </c>
      <c r="U75">
        <v>9.4674462795173309</v>
      </c>
      <c r="V75">
        <v>15.2130470841229</v>
      </c>
      <c r="W75">
        <v>-1.8266900001019</v>
      </c>
      <c r="X75">
        <v>9.5399675160772794</v>
      </c>
      <c r="Y75">
        <v>15.267784375136801</v>
      </c>
      <c r="Z75">
        <v>-1.37915380670914</v>
      </c>
      <c r="AA75">
        <v>6.8996901685807801</v>
      </c>
      <c r="AB75">
        <v>11.1104423698588</v>
      </c>
    </row>
    <row r="76" spans="1:28" x14ac:dyDescent="0.25">
      <c r="A76">
        <v>74</v>
      </c>
      <c r="B76">
        <v>3026</v>
      </c>
      <c r="C76">
        <v>3</v>
      </c>
      <c r="D76">
        <v>2</v>
      </c>
      <c r="E76">
        <v>1.6672863856425699</v>
      </c>
      <c r="F76">
        <v>2.897598674877</v>
      </c>
      <c r="G76">
        <v>7.1662537101444599</v>
      </c>
      <c r="H76">
        <v>1.89466021943195</v>
      </c>
      <c r="I76">
        <v>3.2124066050531601</v>
      </c>
      <c r="J76">
        <v>8.3323407180886608</v>
      </c>
      <c r="K76">
        <v>1.8408351978998201</v>
      </c>
      <c r="L76">
        <v>3.4059903952478101</v>
      </c>
      <c r="M76">
        <v>12.2222337387702</v>
      </c>
      <c r="N76">
        <v>1.5408208273722299</v>
      </c>
      <c r="O76">
        <v>3.71153872693501</v>
      </c>
      <c r="P76">
        <v>12.1874316232916</v>
      </c>
      <c r="Q76">
        <v>2.1521267105770501</v>
      </c>
      <c r="R76">
        <v>3.64846741482223</v>
      </c>
      <c r="S76">
        <v>9.4048903760113198</v>
      </c>
      <c r="T76">
        <v>2.0087499750690698</v>
      </c>
      <c r="U76">
        <v>6.2633574890320602</v>
      </c>
      <c r="V76">
        <v>15.058066999255701</v>
      </c>
      <c r="W76">
        <v>0.91887886825087395</v>
      </c>
      <c r="X76">
        <v>7.4457317874203204</v>
      </c>
      <c r="Y76">
        <v>14.994819959300401</v>
      </c>
      <c r="Z76">
        <v>2.25184209112629</v>
      </c>
      <c r="AA76">
        <v>3.3098194134594898</v>
      </c>
      <c r="AB76">
        <v>10.152051698389</v>
      </c>
    </row>
    <row r="77" spans="1:28" x14ac:dyDescent="0.25">
      <c r="A77">
        <v>75</v>
      </c>
      <c r="B77">
        <v>3030</v>
      </c>
      <c r="C77">
        <v>3</v>
      </c>
      <c r="D77">
        <v>2</v>
      </c>
      <c r="E77">
        <v>7.4613940777203602</v>
      </c>
      <c r="F77">
        <v>-7.4252769571864699</v>
      </c>
      <c r="G77">
        <v>10.4815502339591</v>
      </c>
      <c r="H77">
        <v>8.1805629937545596</v>
      </c>
      <c r="I77">
        <v>-7.7763097830271297</v>
      </c>
      <c r="J77">
        <v>12.1985049063133</v>
      </c>
      <c r="K77">
        <v>0.99060678013589798</v>
      </c>
      <c r="L77">
        <v>2.3871040770470202</v>
      </c>
      <c r="M77">
        <v>9.7202553446596607</v>
      </c>
      <c r="N77">
        <v>1.3684175638103</v>
      </c>
      <c r="O77">
        <v>2.5389193219249901</v>
      </c>
      <c r="P77">
        <v>9.2068114043467109</v>
      </c>
      <c r="Q77">
        <v>7.1774907408392501</v>
      </c>
      <c r="R77">
        <v>-4.70349187756515</v>
      </c>
      <c r="S77">
        <v>11.8445675589986</v>
      </c>
      <c r="T77">
        <v>9.7721630081783601</v>
      </c>
      <c r="U77">
        <v>-6.51067929278239</v>
      </c>
      <c r="V77">
        <v>17.942113996764299</v>
      </c>
      <c r="W77">
        <v>9.6427689094759899</v>
      </c>
      <c r="X77">
        <v>-6.0086011011479696</v>
      </c>
      <c r="Y77">
        <v>17.5013519162558</v>
      </c>
      <c r="Z77">
        <v>9.9578664837807302</v>
      </c>
      <c r="AA77">
        <v>-9.32886527538796</v>
      </c>
      <c r="AB77">
        <v>14.7052678611579</v>
      </c>
    </row>
    <row r="78" spans="1:28" x14ac:dyDescent="0.25">
      <c r="A78">
        <v>76</v>
      </c>
      <c r="B78">
        <v>3036</v>
      </c>
      <c r="C78">
        <v>3</v>
      </c>
      <c r="D78">
        <v>2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  <c r="S78" t="s">
        <v>20</v>
      </c>
      <c r="T78" t="s">
        <v>20</v>
      </c>
      <c r="U78" t="s">
        <v>20</v>
      </c>
      <c r="V78" t="s">
        <v>20</v>
      </c>
      <c r="W78" t="s">
        <v>20</v>
      </c>
      <c r="X78" t="s">
        <v>20</v>
      </c>
      <c r="Y78" t="s">
        <v>20</v>
      </c>
      <c r="Z78" t="s">
        <v>20</v>
      </c>
      <c r="AA78" t="s">
        <v>20</v>
      </c>
      <c r="AB78" t="s">
        <v>20</v>
      </c>
    </row>
    <row r="79" spans="1:28" x14ac:dyDescent="0.25">
      <c r="A79">
        <v>77</v>
      </c>
      <c r="B79">
        <v>3040</v>
      </c>
      <c r="C79">
        <v>3</v>
      </c>
      <c r="D79">
        <v>2</v>
      </c>
      <c r="E79">
        <v>1.67180870654005</v>
      </c>
      <c r="F79">
        <v>0.85583300407714402</v>
      </c>
      <c r="G79">
        <v>3.9824707071994401</v>
      </c>
      <c r="H79">
        <v>2.1269649603860499</v>
      </c>
      <c r="I79">
        <v>0.68303394800606698</v>
      </c>
      <c r="J79">
        <v>5.1092656004741404</v>
      </c>
      <c r="K79">
        <v>2.08640041782962</v>
      </c>
      <c r="L79">
        <v>0.69879304170879797</v>
      </c>
      <c r="M79">
        <v>7.17829952653753</v>
      </c>
      <c r="N79">
        <v>1.9909359474956301</v>
      </c>
      <c r="O79">
        <v>0.78940075054902703</v>
      </c>
      <c r="P79">
        <v>7.2180990108940097</v>
      </c>
      <c r="Q79">
        <v>1.83607701823931</v>
      </c>
      <c r="R79">
        <v>1.54888078916279</v>
      </c>
      <c r="S79">
        <v>4.8652168273636702</v>
      </c>
      <c r="T79">
        <v>1.1968445114614501</v>
      </c>
      <c r="U79">
        <v>4.3691431560865102</v>
      </c>
      <c r="V79">
        <v>12.989508538054499</v>
      </c>
      <c r="W79">
        <v>1.1756939631944301</v>
      </c>
      <c r="X79">
        <v>4.4793451921840797</v>
      </c>
      <c r="Y79">
        <v>12.9679486087716</v>
      </c>
      <c r="Z79">
        <v>0.99833872024491399</v>
      </c>
      <c r="AA79">
        <v>1.8292714043610301</v>
      </c>
      <c r="AB79">
        <v>10.622251404625301</v>
      </c>
    </row>
    <row r="80" spans="1:28" x14ac:dyDescent="0.25">
      <c r="A80">
        <v>78</v>
      </c>
      <c r="B80">
        <v>3041</v>
      </c>
      <c r="C80">
        <v>3</v>
      </c>
      <c r="D80">
        <v>2</v>
      </c>
      <c r="E80">
        <v>2.9967861890025098</v>
      </c>
      <c r="F80">
        <v>1.7449380778496599</v>
      </c>
      <c r="G80">
        <v>6.02498521965747</v>
      </c>
      <c r="H80">
        <v>4.4067041047640201</v>
      </c>
      <c r="I80">
        <v>0.73410747530144105</v>
      </c>
      <c r="J80">
        <v>7.6635258957741703</v>
      </c>
      <c r="K80">
        <v>3.47620679386785</v>
      </c>
      <c r="L80">
        <v>2.0832293629162701</v>
      </c>
      <c r="M80">
        <v>9.7739917525295201</v>
      </c>
      <c r="N80">
        <v>3.2885485420423599</v>
      </c>
      <c r="O80">
        <v>2.0662468458188901</v>
      </c>
      <c r="P80">
        <v>9.7636683479211097</v>
      </c>
      <c r="Q80">
        <v>6.0406127211141696</v>
      </c>
      <c r="R80">
        <v>0.94173106477540602</v>
      </c>
      <c r="S80">
        <v>7.1983572048773299</v>
      </c>
      <c r="T80">
        <v>10.373328763476</v>
      </c>
      <c r="U80">
        <v>-0.49799785580599898</v>
      </c>
      <c r="V80">
        <v>13.374083207021799</v>
      </c>
      <c r="W80">
        <v>8.5041909441274708</v>
      </c>
      <c r="X80">
        <v>1.2098727557529501</v>
      </c>
      <c r="Y80">
        <v>13.3068998756486</v>
      </c>
      <c r="Z80">
        <v>5.7267294300532496</v>
      </c>
      <c r="AA80">
        <v>0.54156600811059197</v>
      </c>
      <c r="AB80">
        <v>10.7834464441689</v>
      </c>
    </row>
    <row r="81" spans="1:28" x14ac:dyDescent="0.25">
      <c r="A81">
        <v>79</v>
      </c>
      <c r="B81">
        <v>3043</v>
      </c>
      <c r="C81">
        <v>3</v>
      </c>
      <c r="D81">
        <v>2</v>
      </c>
      <c r="E81">
        <v>0.51166185093043304</v>
      </c>
      <c r="F81">
        <v>0.75084123411814696</v>
      </c>
      <c r="G81">
        <v>3.5102094562985302</v>
      </c>
      <c r="H81">
        <v>0.25723350302579101</v>
      </c>
      <c r="I81">
        <v>1.3372721216515999</v>
      </c>
      <c r="J81">
        <v>4.31063408036289</v>
      </c>
      <c r="K81">
        <v>-2.80933078976741E-2</v>
      </c>
      <c r="L81">
        <v>2.6472733026257398</v>
      </c>
      <c r="M81">
        <v>7.2349488070671999</v>
      </c>
      <c r="N81">
        <v>0.20538761403688899</v>
      </c>
      <c r="O81">
        <v>2.0851773114287901</v>
      </c>
      <c r="P81">
        <v>7.1111098695411297</v>
      </c>
      <c r="Q81">
        <v>-0.14677956998692199</v>
      </c>
      <c r="R81">
        <v>2.3410203897629098</v>
      </c>
      <c r="S81">
        <v>4.7310623121681301</v>
      </c>
      <c r="T81">
        <v>-3.7706312495689698</v>
      </c>
      <c r="U81">
        <v>11.387343320980699</v>
      </c>
      <c r="V81">
        <v>9.4626260973587808</v>
      </c>
      <c r="W81">
        <v>-3.8406114822595101</v>
      </c>
      <c r="X81">
        <v>11.408972728215501</v>
      </c>
      <c r="Y81">
        <v>9.4739176006487398</v>
      </c>
      <c r="Z81">
        <v>-2.4405471186874901</v>
      </c>
      <c r="AA81">
        <v>7.1336796190915104</v>
      </c>
      <c r="AB81">
        <v>7.0165740309067104</v>
      </c>
    </row>
    <row r="82" spans="1:28" x14ac:dyDescent="0.25">
      <c r="A82">
        <v>80</v>
      </c>
      <c r="B82">
        <v>3054</v>
      </c>
      <c r="C82">
        <v>3</v>
      </c>
      <c r="D82">
        <v>2</v>
      </c>
      <c r="E82">
        <v>1.1114553192227301</v>
      </c>
      <c r="F82">
        <v>0.60417238479215196</v>
      </c>
      <c r="G82">
        <v>8.7362716639153408</v>
      </c>
      <c r="H82">
        <v>0.74610413106242401</v>
      </c>
      <c r="I82">
        <v>1.75630750584189</v>
      </c>
      <c r="J82">
        <v>9.6485582603188895</v>
      </c>
      <c r="K82">
        <v>1.0650909297147699</v>
      </c>
      <c r="L82">
        <v>2.0844511096737501</v>
      </c>
      <c r="M82">
        <v>11.748184811362901</v>
      </c>
      <c r="N82">
        <v>1.1434584119339399</v>
      </c>
      <c r="O82">
        <v>1.9896580612573</v>
      </c>
      <c r="P82">
        <v>11.7057549733464</v>
      </c>
      <c r="Q82">
        <v>0.47341303731692802</v>
      </c>
      <c r="R82">
        <v>2.4820243927602701</v>
      </c>
      <c r="S82">
        <v>9.6803034936738896</v>
      </c>
      <c r="T82">
        <v>-1.37810799653387E-2</v>
      </c>
      <c r="U82">
        <v>4.9494638808867597</v>
      </c>
      <c r="V82">
        <v>14.132971100330399</v>
      </c>
      <c r="W82">
        <v>-0.38831465096819401</v>
      </c>
      <c r="X82">
        <v>5.6852997272893404</v>
      </c>
      <c r="Y82">
        <v>13.8435182671092</v>
      </c>
      <c r="Z82">
        <v>1.86416435353154</v>
      </c>
      <c r="AA82">
        <v>0.89572385876913796</v>
      </c>
      <c r="AB82">
        <v>11.099950896180999</v>
      </c>
    </row>
    <row r="83" spans="1:28" x14ac:dyDescent="0.25">
      <c r="A83">
        <v>81</v>
      </c>
      <c r="B83">
        <v>3055</v>
      </c>
      <c r="C83">
        <v>3</v>
      </c>
      <c r="D83">
        <v>2</v>
      </c>
      <c r="E83">
        <v>-0.43259195116360599</v>
      </c>
      <c r="F83">
        <v>1.0608314643852299</v>
      </c>
      <c r="G83">
        <v>4.3023316663376798</v>
      </c>
      <c r="H83">
        <v>-0.72803504837372601</v>
      </c>
      <c r="I83">
        <v>2.3219346231283402</v>
      </c>
      <c r="J83">
        <v>5.5818852754946597</v>
      </c>
      <c r="K83">
        <v>-1.32320935142337</v>
      </c>
      <c r="L83">
        <v>3.38086425690109</v>
      </c>
      <c r="M83">
        <v>10.1495066549793</v>
      </c>
      <c r="N83">
        <v>-1.0134824020995701</v>
      </c>
      <c r="O83">
        <v>2.8589627851412498</v>
      </c>
      <c r="P83">
        <v>10.1118453108687</v>
      </c>
      <c r="Q83">
        <v>-0.212890512071681</v>
      </c>
      <c r="R83">
        <v>1.37237506491132</v>
      </c>
      <c r="S83">
        <v>5.9048344432641899</v>
      </c>
      <c r="T83">
        <v>-2.4900954840096601</v>
      </c>
      <c r="U83">
        <v>8.8362991476097008</v>
      </c>
      <c r="V83">
        <v>10.805058307022399</v>
      </c>
      <c r="W83">
        <v>-2.4331679660869598</v>
      </c>
      <c r="X83">
        <v>8.6902184626574197</v>
      </c>
      <c r="Y83">
        <v>10.8815576012572</v>
      </c>
      <c r="Z83">
        <v>-2.3074480878457302</v>
      </c>
      <c r="AA83">
        <v>6.9158420489674697</v>
      </c>
      <c r="AB83">
        <v>7.4538647162826397</v>
      </c>
    </row>
    <row r="84" spans="1:28" x14ac:dyDescent="0.25">
      <c r="A84">
        <v>82</v>
      </c>
      <c r="B84">
        <v>3058</v>
      </c>
      <c r="C84">
        <v>3</v>
      </c>
      <c r="D84">
        <v>2</v>
      </c>
      <c r="E84">
        <v>0.26248041334868599</v>
      </c>
      <c r="F84">
        <v>1.9860422036780501</v>
      </c>
      <c r="G84">
        <v>5.0686676990672197</v>
      </c>
      <c r="H84">
        <v>0.32895308849642402</v>
      </c>
      <c r="I84">
        <v>1.87541545626475</v>
      </c>
      <c r="J84">
        <v>6.8747077706447701</v>
      </c>
      <c r="K84">
        <v>0.89616909018493196</v>
      </c>
      <c r="L84">
        <v>0.65680430287838898</v>
      </c>
      <c r="M84">
        <v>11.738960394604</v>
      </c>
      <c r="N84">
        <v>0.77784683450922798</v>
      </c>
      <c r="O84">
        <v>0.86900927951510298</v>
      </c>
      <c r="P84">
        <v>11.6398349219905</v>
      </c>
      <c r="Q84">
        <v>1.02292106298895</v>
      </c>
      <c r="R84">
        <v>1.3009484414075201</v>
      </c>
      <c r="S84">
        <v>7.3134458782977996</v>
      </c>
      <c r="T84">
        <v>0.14015791437383601</v>
      </c>
      <c r="U84">
        <v>4.2299500104747896</v>
      </c>
      <c r="V84">
        <v>13.166731283581599</v>
      </c>
      <c r="W84">
        <v>0.54905414994426005</v>
      </c>
      <c r="X84">
        <v>3.7370686888295199</v>
      </c>
      <c r="Y84">
        <v>13.0282293399908</v>
      </c>
      <c r="Z84">
        <v>-0.21002843820931999</v>
      </c>
      <c r="AA84">
        <v>3.3881743549484402</v>
      </c>
      <c r="AB84">
        <v>9.2133502159307596</v>
      </c>
    </row>
    <row r="85" spans="1:28" x14ac:dyDescent="0.25">
      <c r="A85">
        <v>83</v>
      </c>
      <c r="B85">
        <v>3059</v>
      </c>
      <c r="C85">
        <v>3</v>
      </c>
      <c r="D85">
        <v>2</v>
      </c>
      <c r="E85">
        <v>-0.87651645175457005</v>
      </c>
      <c r="F85">
        <v>4.5871237240666796</v>
      </c>
      <c r="G85">
        <v>3.79995192441105</v>
      </c>
      <c r="H85">
        <v>-0.187949721454055</v>
      </c>
      <c r="I85">
        <v>4.3060391522802099</v>
      </c>
      <c r="J85">
        <v>4.8120354688809597</v>
      </c>
      <c r="K85">
        <v>-2.04120718299305</v>
      </c>
      <c r="L85">
        <v>8.3269219935331993</v>
      </c>
      <c r="M85">
        <v>7.1742358056401798</v>
      </c>
      <c r="N85">
        <v>-1.7538777527398099</v>
      </c>
      <c r="O85">
        <v>7.7567322392217299</v>
      </c>
      <c r="P85">
        <v>7.3359531353170899</v>
      </c>
      <c r="Q85">
        <v>-0.57976622735843597</v>
      </c>
      <c r="R85">
        <v>5.2231143458326201</v>
      </c>
      <c r="S85">
        <v>5.24697807127641</v>
      </c>
      <c r="T85">
        <v>1.1749329054406099</v>
      </c>
      <c r="U85">
        <v>4.3643567654946196</v>
      </c>
      <c r="V85">
        <v>11.579434110336299</v>
      </c>
      <c r="W85">
        <v>1.64008414590998</v>
      </c>
      <c r="X85">
        <v>3.8215764762018898</v>
      </c>
      <c r="Y85">
        <v>11.570895206169901</v>
      </c>
      <c r="Z85">
        <v>1.49352572746975</v>
      </c>
      <c r="AA85">
        <v>2.1505456396564999</v>
      </c>
      <c r="AB85">
        <v>8.4677109172604208</v>
      </c>
    </row>
    <row r="86" spans="1:28" x14ac:dyDescent="0.25">
      <c r="A86">
        <v>84</v>
      </c>
      <c r="B86">
        <v>3066</v>
      </c>
      <c r="C86">
        <v>3</v>
      </c>
      <c r="D86">
        <v>2</v>
      </c>
      <c r="E86">
        <v>-2.5033574360811701</v>
      </c>
      <c r="F86">
        <v>6.7646633562162499</v>
      </c>
      <c r="G86">
        <v>7.69294826473888</v>
      </c>
      <c r="H86">
        <v>-1.9603225751230899</v>
      </c>
      <c r="I86">
        <v>6.5057190337667601</v>
      </c>
      <c r="J86">
        <v>9.5008426585373993</v>
      </c>
      <c r="K86">
        <v>0.51301992292635101</v>
      </c>
      <c r="L86">
        <v>3.9891118118157398</v>
      </c>
      <c r="M86">
        <v>14.3546286624844</v>
      </c>
      <c r="N86">
        <v>0.36506442702095199</v>
      </c>
      <c r="O86">
        <v>4.3655130073681301</v>
      </c>
      <c r="P86">
        <v>13.9587150060834</v>
      </c>
      <c r="Q86">
        <v>-3.5388016512143201</v>
      </c>
      <c r="R86">
        <v>9.8253062401257498</v>
      </c>
      <c r="S86">
        <v>10.3886533186002</v>
      </c>
      <c r="T86">
        <v>-3.2309303717048299</v>
      </c>
      <c r="U86">
        <v>13.039837349226801</v>
      </c>
      <c r="V86">
        <v>18.296992660426</v>
      </c>
      <c r="W86">
        <v>-5.0212853239052899</v>
      </c>
      <c r="X86">
        <v>15.553648874779601</v>
      </c>
      <c r="Y86">
        <v>17.631680140665502</v>
      </c>
      <c r="Z86">
        <v>-2.4065928287094098</v>
      </c>
      <c r="AA86">
        <v>9.1542473720714899</v>
      </c>
      <c r="AB86">
        <v>11.923245210993599</v>
      </c>
    </row>
    <row r="87" spans="1:28" x14ac:dyDescent="0.25">
      <c r="A87">
        <v>85</v>
      </c>
      <c r="B87">
        <v>3068</v>
      </c>
      <c r="C87">
        <v>3</v>
      </c>
      <c r="D87">
        <v>2</v>
      </c>
      <c r="E87">
        <v>1.0779935984664899</v>
      </c>
      <c r="F87">
        <v>0.23918824992482099</v>
      </c>
      <c r="G87">
        <v>4.1695523226300999</v>
      </c>
      <c r="H87">
        <v>1.313040147016</v>
      </c>
      <c r="I87">
        <v>-1.64287003131281E-3</v>
      </c>
      <c r="J87">
        <v>5.2312740412272598</v>
      </c>
      <c r="K87">
        <v>0.63503057448710598</v>
      </c>
      <c r="L87">
        <v>3.89113470664575</v>
      </c>
      <c r="M87">
        <v>8.6231531856204704</v>
      </c>
      <c r="N87">
        <v>0.67020939254867196</v>
      </c>
      <c r="O87">
        <v>3.8009575087401299</v>
      </c>
      <c r="P87">
        <v>8.6293167334419003</v>
      </c>
      <c r="Q87">
        <v>1.50037260836075</v>
      </c>
      <c r="R87">
        <v>1.04623862436074</v>
      </c>
      <c r="S87">
        <v>5.5978749687347902</v>
      </c>
      <c r="T87">
        <v>0.12554560823568101</v>
      </c>
      <c r="U87">
        <v>5.2566328386394403</v>
      </c>
      <c r="V87">
        <v>10.4373482878059</v>
      </c>
      <c r="W87">
        <v>-0.123857070827911</v>
      </c>
      <c r="X87">
        <v>5.55786644957875</v>
      </c>
      <c r="Y87">
        <v>10.4282008803817</v>
      </c>
      <c r="Z87">
        <v>-0.42161056351417597</v>
      </c>
      <c r="AA87">
        <v>4.1174257362107598</v>
      </c>
      <c r="AB87">
        <v>7.3157751128129096</v>
      </c>
    </row>
    <row r="88" spans="1:28" x14ac:dyDescent="0.25">
      <c r="A88">
        <v>86</v>
      </c>
      <c r="B88">
        <v>3069</v>
      </c>
      <c r="C88">
        <v>3</v>
      </c>
      <c r="D88">
        <v>2</v>
      </c>
      <c r="E88">
        <v>-1.88359022552544</v>
      </c>
      <c r="F88">
        <v>4.9283868855166801</v>
      </c>
      <c r="G88">
        <v>3.7169060447807798</v>
      </c>
      <c r="H88">
        <v>-1.6914519501574199</v>
      </c>
      <c r="I88">
        <v>5.1278153109671303</v>
      </c>
      <c r="J88">
        <v>4.5218658294845397</v>
      </c>
      <c r="K88">
        <v>-1.8206791887985301</v>
      </c>
      <c r="L88">
        <v>6.3001374554036396</v>
      </c>
      <c r="M88">
        <v>7.07287106483441</v>
      </c>
      <c r="N88">
        <v>-1.51565388543685</v>
      </c>
      <c r="O88">
        <v>5.8067556731541004</v>
      </c>
      <c r="P88">
        <v>7.0909675093683502</v>
      </c>
      <c r="Q88">
        <v>-2.6330378156953702</v>
      </c>
      <c r="R88">
        <v>7.3004434374279201</v>
      </c>
      <c r="S88">
        <v>5.1762025829727296</v>
      </c>
      <c r="T88">
        <v>-5.2369216490611201</v>
      </c>
      <c r="U88">
        <v>14.3733321176283</v>
      </c>
      <c r="V88">
        <v>9.9311125503498108</v>
      </c>
      <c r="W88">
        <v>-5.2958442996062098</v>
      </c>
      <c r="X88">
        <v>14.540203667778099</v>
      </c>
      <c r="Y88">
        <v>9.8179811707121303</v>
      </c>
      <c r="Z88">
        <v>-1.34573323234391</v>
      </c>
      <c r="AA88">
        <v>6.5734145119223699</v>
      </c>
      <c r="AB88">
        <v>7.7416204856946802</v>
      </c>
    </row>
    <row r="89" spans="1:28" x14ac:dyDescent="0.25">
      <c r="A89">
        <v>87</v>
      </c>
      <c r="B89">
        <v>3070</v>
      </c>
      <c r="C89">
        <v>3</v>
      </c>
      <c r="D89">
        <v>2</v>
      </c>
      <c r="E89">
        <v>8.5923695648039793</v>
      </c>
      <c r="F89">
        <v>-7.9782993440016297</v>
      </c>
      <c r="G89">
        <v>8.3900923139188706</v>
      </c>
      <c r="H89">
        <v>10.141925847834701</v>
      </c>
      <c r="I89">
        <v>-8.56225641248278</v>
      </c>
      <c r="J89">
        <v>8.8264813801121704</v>
      </c>
      <c r="K89">
        <v>3.8761297952589402</v>
      </c>
      <c r="L89">
        <v>1.3503620859919701</v>
      </c>
      <c r="M89">
        <v>11.5902513712826</v>
      </c>
      <c r="N89">
        <v>4.8945696496019302</v>
      </c>
      <c r="O89">
        <v>-0.37030398934172698</v>
      </c>
      <c r="P89">
        <v>11.4950857938809</v>
      </c>
      <c r="Q89">
        <v>8.2169158586386093</v>
      </c>
      <c r="R89">
        <v>-6.35548144262986</v>
      </c>
      <c r="S89">
        <v>9.27287839828975</v>
      </c>
      <c r="T89">
        <v>7.1857625871597097</v>
      </c>
      <c r="U89">
        <v>0.170345980755609</v>
      </c>
      <c r="V89">
        <v>11.9712488377239</v>
      </c>
      <c r="W89">
        <v>7.5515009875730899</v>
      </c>
      <c r="X89">
        <v>-0.29289277873193098</v>
      </c>
      <c r="Y89">
        <v>12.0105431763015</v>
      </c>
      <c r="Z89">
        <v>8.3004289945781409</v>
      </c>
      <c r="AA89">
        <v>-4.40937692005076</v>
      </c>
      <c r="AB89">
        <v>10.263509026009499</v>
      </c>
    </row>
    <row r="90" spans="1:28" x14ac:dyDescent="0.25">
      <c r="A90">
        <v>88</v>
      </c>
      <c r="B90">
        <v>3074</v>
      </c>
      <c r="C90">
        <v>3</v>
      </c>
      <c r="D90">
        <v>2</v>
      </c>
      <c r="E90">
        <v>-2.11840545834945</v>
      </c>
      <c r="F90">
        <v>3.2995853920093299</v>
      </c>
      <c r="G90">
        <v>5.0259535957635197</v>
      </c>
      <c r="H90">
        <v>-1.52661683006277</v>
      </c>
      <c r="I90">
        <v>2.6613988614200101</v>
      </c>
      <c r="J90">
        <v>6.7899475099615803</v>
      </c>
      <c r="K90">
        <v>-0.458714833853969</v>
      </c>
      <c r="L90">
        <v>2.8543083634910902</v>
      </c>
      <c r="M90">
        <v>8.4443106905518608</v>
      </c>
      <c r="N90">
        <v>-0.44417346465359597</v>
      </c>
      <c r="O90">
        <v>2.7479014100300301</v>
      </c>
      <c r="P90">
        <v>8.4723745154126693</v>
      </c>
      <c r="Q90">
        <v>-1.8799248042839301</v>
      </c>
      <c r="R90">
        <v>3.4518928818469399</v>
      </c>
      <c r="S90">
        <v>6.1946492749443198</v>
      </c>
      <c r="T90">
        <v>-1.73548779789035</v>
      </c>
      <c r="U90">
        <v>6.3376576579910999</v>
      </c>
      <c r="V90">
        <v>12.3308555748979</v>
      </c>
      <c r="W90">
        <v>-1.1025354984078399</v>
      </c>
      <c r="X90">
        <v>5.5051584887884299</v>
      </c>
      <c r="Y90">
        <v>12.386188894062901</v>
      </c>
      <c r="Z90">
        <v>-0.63963206369457404</v>
      </c>
      <c r="AA90">
        <v>3.4421508063369899</v>
      </c>
      <c r="AB90">
        <v>9.2213489937514108</v>
      </c>
    </row>
    <row r="91" spans="1:28" x14ac:dyDescent="0.25">
      <c r="A91">
        <v>89</v>
      </c>
      <c r="B91">
        <v>3076</v>
      </c>
      <c r="C91">
        <v>3</v>
      </c>
      <c r="D91">
        <v>2</v>
      </c>
      <c r="E91">
        <v>4.7153897050765501</v>
      </c>
      <c r="F91">
        <v>-6.5943640506082701</v>
      </c>
      <c r="G91">
        <v>13.1748865760008</v>
      </c>
      <c r="H91">
        <v>7.5550691751172199</v>
      </c>
      <c r="I91">
        <v>-10.808875048942401</v>
      </c>
      <c r="J91">
        <v>16.563452264178601</v>
      </c>
      <c r="K91">
        <v>6.9907004153111902</v>
      </c>
      <c r="L91">
        <v>-8.4342297642487907</v>
      </c>
      <c r="M91">
        <v>20.771331134982901</v>
      </c>
      <c r="N91">
        <v>5.7303908497594902</v>
      </c>
      <c r="O91">
        <v>-6.0842711560145402</v>
      </c>
      <c r="P91">
        <v>19.614473980559499</v>
      </c>
      <c r="Q91">
        <v>5.1502021541593903</v>
      </c>
      <c r="R91">
        <v>-6.3337066266851698</v>
      </c>
      <c r="S91">
        <v>15.7024130181768</v>
      </c>
      <c r="T91">
        <v>11.7060832221886</v>
      </c>
      <c r="U91">
        <v>-19.158815437074001</v>
      </c>
      <c r="V91">
        <v>30.983604805017301</v>
      </c>
      <c r="W91">
        <v>11.6189387291779</v>
      </c>
      <c r="X91">
        <v>-18.9775804539494</v>
      </c>
      <c r="Y91">
        <v>30.862408878554</v>
      </c>
      <c r="Z91">
        <v>13.4333338531702</v>
      </c>
      <c r="AA91">
        <v>-22.8967302885668</v>
      </c>
      <c r="AB91">
        <v>25.921143920049701</v>
      </c>
    </row>
    <row r="92" spans="1:28" x14ac:dyDescent="0.25">
      <c r="A92">
        <v>90</v>
      </c>
      <c r="B92">
        <v>3086</v>
      </c>
      <c r="C92">
        <v>3</v>
      </c>
      <c r="D92">
        <v>2</v>
      </c>
      <c r="E92">
        <v>-0.92535373779158603</v>
      </c>
      <c r="F92">
        <v>2.84640233216783</v>
      </c>
      <c r="G92">
        <v>3.6877608519527301</v>
      </c>
      <c r="H92">
        <v>-0.61552075196033895</v>
      </c>
      <c r="I92">
        <v>2.5886874361110799</v>
      </c>
      <c r="J92">
        <v>4.7968172556692901</v>
      </c>
      <c r="K92">
        <v>-0.44926055737929399</v>
      </c>
      <c r="L92">
        <v>3.99737477355646</v>
      </c>
      <c r="M92">
        <v>6.8433723922336496</v>
      </c>
      <c r="N92">
        <v>-0.55267884690406599</v>
      </c>
      <c r="O92">
        <v>4.1302863958408</v>
      </c>
      <c r="P92">
        <v>6.8163762878330001</v>
      </c>
      <c r="Q92">
        <v>-1.23220893398222</v>
      </c>
      <c r="R92">
        <v>3.9186647697972399</v>
      </c>
      <c r="S92">
        <v>5.0211042335841798</v>
      </c>
      <c r="T92">
        <v>-2.6569867212088201</v>
      </c>
      <c r="U92">
        <v>8.7655219530653099</v>
      </c>
      <c r="V92">
        <v>11.5753679639875</v>
      </c>
      <c r="W92">
        <v>-2.7616249377823698</v>
      </c>
      <c r="X92">
        <v>8.8933994355934693</v>
      </c>
      <c r="Y92">
        <v>11.4787994564042</v>
      </c>
      <c r="Z92">
        <v>-1.0169291878881099</v>
      </c>
      <c r="AA92">
        <v>4.9549965187090601</v>
      </c>
      <c r="AB92">
        <v>7.8226337074622601</v>
      </c>
    </row>
    <row r="93" spans="1:28" x14ac:dyDescent="0.25">
      <c r="A93">
        <v>91</v>
      </c>
      <c r="B93">
        <v>3090</v>
      </c>
      <c r="C93">
        <v>3</v>
      </c>
      <c r="D93">
        <v>2</v>
      </c>
      <c r="E93">
        <v>1.0357243981463999</v>
      </c>
      <c r="F93">
        <v>1.5508014980394</v>
      </c>
      <c r="G93">
        <v>10.9155705272651</v>
      </c>
      <c r="H93">
        <v>1.7079967846370401</v>
      </c>
      <c r="I93">
        <v>1.4424672385217601</v>
      </c>
      <c r="J93">
        <v>12.372743468401699</v>
      </c>
      <c r="K93">
        <v>0.45175390975130503</v>
      </c>
      <c r="L93">
        <v>5.9980820389649301</v>
      </c>
      <c r="M93">
        <v>14.4612462293454</v>
      </c>
      <c r="N93">
        <v>0.49799405962175303</v>
      </c>
      <c r="O93">
        <v>6.00606150783348</v>
      </c>
      <c r="P93">
        <v>14.4097618862601</v>
      </c>
      <c r="Q93">
        <v>1.6277696703037501</v>
      </c>
      <c r="R93">
        <v>2.0039001280942399</v>
      </c>
      <c r="S93">
        <v>12.413539876497399</v>
      </c>
      <c r="T93">
        <v>1.4949704791562901</v>
      </c>
      <c r="U93">
        <v>5.2459983083161799</v>
      </c>
      <c r="V93">
        <v>17.218442101041099</v>
      </c>
      <c r="W93">
        <v>1.8030209877241701</v>
      </c>
      <c r="X93">
        <v>4.8756480185691702</v>
      </c>
      <c r="Y93">
        <v>17.251543869296398</v>
      </c>
      <c r="Z93">
        <v>3.9772784241407599</v>
      </c>
      <c r="AA93">
        <v>-1.2085822046775101</v>
      </c>
      <c r="AB93">
        <v>14.7623104903867</v>
      </c>
    </row>
    <row r="94" spans="1:28" x14ac:dyDescent="0.25">
      <c r="A94">
        <v>92</v>
      </c>
      <c r="B94">
        <v>3102</v>
      </c>
      <c r="C94">
        <v>3</v>
      </c>
      <c r="D94">
        <v>2</v>
      </c>
      <c r="E94">
        <v>1.85168658892063</v>
      </c>
      <c r="F94">
        <v>-1.10879721075328</v>
      </c>
      <c r="G94">
        <v>5.4822161157839302</v>
      </c>
      <c r="H94">
        <v>1.7393091995644501</v>
      </c>
      <c r="I94">
        <v>-0.17724550312884799</v>
      </c>
      <c r="J94">
        <v>5.6455298595028403</v>
      </c>
      <c r="K94">
        <v>-0.13678475834030501</v>
      </c>
      <c r="L94">
        <v>4.12613371045531</v>
      </c>
      <c r="M94">
        <v>8.9988340444771602</v>
      </c>
      <c r="N94">
        <v>0.216673792065846</v>
      </c>
      <c r="O94">
        <v>3.5490896178148801</v>
      </c>
      <c r="P94">
        <v>9.0324104161432395</v>
      </c>
      <c r="Q94">
        <v>1.34429151800571</v>
      </c>
      <c r="R94">
        <v>0.87543784782466905</v>
      </c>
      <c r="S94">
        <v>6.6515199889775003</v>
      </c>
      <c r="T94">
        <v>-2.0351815185344</v>
      </c>
      <c r="U94">
        <v>8.72999766374903</v>
      </c>
      <c r="V94">
        <v>9.9700621553902895</v>
      </c>
      <c r="W94">
        <v>-2.0315915460989098</v>
      </c>
      <c r="X94">
        <v>8.6926629253085501</v>
      </c>
      <c r="Y94">
        <v>9.9807627135198302</v>
      </c>
      <c r="Z94">
        <v>-0.48152534272883701</v>
      </c>
      <c r="AA94">
        <v>5.2533239078162302</v>
      </c>
      <c r="AB94">
        <v>6.67563351340032</v>
      </c>
    </row>
    <row r="95" spans="1:28" x14ac:dyDescent="0.25">
      <c r="A95">
        <v>93</v>
      </c>
      <c r="B95">
        <v>3104</v>
      </c>
      <c r="C95">
        <v>3</v>
      </c>
      <c r="D95">
        <v>2</v>
      </c>
      <c r="E95">
        <v>-1.682536811171</v>
      </c>
      <c r="F95">
        <v>6.1094294968539904</v>
      </c>
      <c r="G95">
        <v>4.8767830640336598</v>
      </c>
      <c r="H95">
        <v>-1.5811545455821701</v>
      </c>
      <c r="I95">
        <v>6.9343326780915397</v>
      </c>
      <c r="J95">
        <v>5.99285743916582</v>
      </c>
      <c r="K95">
        <v>2.1661300691359502</v>
      </c>
      <c r="L95">
        <v>3.6081426447993898</v>
      </c>
      <c r="M95">
        <v>10.4073678437537</v>
      </c>
      <c r="N95">
        <v>1.3264261611966901</v>
      </c>
      <c r="O95">
        <v>4.6982538388678901</v>
      </c>
      <c r="P95">
        <v>10.1638565699858</v>
      </c>
      <c r="Q95">
        <v>-0.96800901483563195</v>
      </c>
      <c r="R95">
        <v>7.4333046143213597</v>
      </c>
      <c r="S95">
        <v>6.3456943894791502</v>
      </c>
      <c r="T95">
        <v>-0.99143625897441201</v>
      </c>
      <c r="U95">
        <v>10.3336229635983</v>
      </c>
      <c r="V95">
        <v>11.4048468870223</v>
      </c>
      <c r="W95">
        <v>-0.501150861059247</v>
      </c>
      <c r="X95">
        <v>10.0416467366378</v>
      </c>
      <c r="Y95">
        <v>11.2994015715609</v>
      </c>
      <c r="Z95">
        <v>-0.96836207383552297</v>
      </c>
      <c r="AA95">
        <v>7.71279409652879</v>
      </c>
      <c r="AB95">
        <v>8.1092365778033706</v>
      </c>
    </row>
    <row r="96" spans="1:28" x14ac:dyDescent="0.25">
      <c r="A96">
        <v>94</v>
      </c>
      <c r="B96">
        <v>3105</v>
      </c>
      <c r="C96">
        <v>3</v>
      </c>
      <c r="D96">
        <v>2</v>
      </c>
      <c r="E96">
        <v>0.25187303847440501</v>
      </c>
      <c r="F96">
        <v>3.8283793743670902</v>
      </c>
      <c r="G96">
        <v>4.9009664700594104</v>
      </c>
      <c r="H96">
        <v>-0.658336444521742</v>
      </c>
      <c r="I96">
        <v>5.4414806663140398</v>
      </c>
      <c r="J96">
        <v>6.0280440893888896</v>
      </c>
      <c r="K96">
        <v>-2.6768139085617899</v>
      </c>
      <c r="L96">
        <v>9.5024000059399896</v>
      </c>
      <c r="M96">
        <v>9.7087427085490408</v>
      </c>
      <c r="N96">
        <v>-2.1747098724588998</v>
      </c>
      <c r="O96">
        <v>8.5333151464747203</v>
      </c>
      <c r="P96">
        <v>9.7315780934023408</v>
      </c>
      <c r="Q96">
        <v>-0.34450461851039199</v>
      </c>
      <c r="R96">
        <v>5.43438851469136</v>
      </c>
      <c r="S96">
        <v>6.6261664731262702</v>
      </c>
      <c r="T96">
        <v>-1.3377135173588099</v>
      </c>
      <c r="U96">
        <v>10.6811034827914</v>
      </c>
      <c r="V96">
        <v>12.3096848882117</v>
      </c>
      <c r="W96">
        <v>-1.28753028135227</v>
      </c>
      <c r="X96">
        <v>10.497478125252099</v>
      </c>
      <c r="Y96">
        <v>12.2951738284959</v>
      </c>
      <c r="Z96">
        <v>-1.9940111115208301</v>
      </c>
      <c r="AA96">
        <v>9.5142974927267705</v>
      </c>
      <c r="AB96">
        <v>8.3450434207959905</v>
      </c>
    </row>
    <row r="97" spans="1:28" x14ac:dyDescent="0.25">
      <c r="A97">
        <v>95</v>
      </c>
      <c r="B97">
        <v>3106</v>
      </c>
      <c r="C97">
        <v>3</v>
      </c>
      <c r="D97">
        <v>2</v>
      </c>
      <c r="E97">
        <v>0.47899079890899499</v>
      </c>
      <c r="F97">
        <v>2.2888291574812101</v>
      </c>
      <c r="G97">
        <v>4.0347962659548102</v>
      </c>
      <c r="H97">
        <v>-0.21252253054894099</v>
      </c>
      <c r="I97">
        <v>3.9695486747872999</v>
      </c>
      <c r="J97">
        <v>4.8882880141399498</v>
      </c>
      <c r="K97">
        <v>-1.03868704364438</v>
      </c>
      <c r="L97">
        <v>6.8271922837191603</v>
      </c>
      <c r="M97">
        <v>7.1264928277280504</v>
      </c>
      <c r="N97">
        <v>-1.4571753226777799</v>
      </c>
      <c r="O97">
        <v>7.1547499860228401</v>
      </c>
      <c r="P97">
        <v>7.0893739043992499</v>
      </c>
      <c r="Q97">
        <v>-0.56868334358425598</v>
      </c>
      <c r="R97">
        <v>4.5340151772745099</v>
      </c>
      <c r="S97">
        <v>4.7949723292685196</v>
      </c>
      <c r="T97">
        <v>-1.02064119362519</v>
      </c>
      <c r="U97">
        <v>7.18812870381353</v>
      </c>
      <c r="V97">
        <v>10.099466637026101</v>
      </c>
      <c r="W97">
        <v>-1.1481564107539599</v>
      </c>
      <c r="X97">
        <v>7.43817272334514</v>
      </c>
      <c r="Y97">
        <v>10.0575786820686</v>
      </c>
      <c r="Z97">
        <v>-0.80515398839231</v>
      </c>
      <c r="AA97">
        <v>5.6463523142650303</v>
      </c>
      <c r="AB97">
        <v>6.8522543863358099</v>
      </c>
    </row>
    <row r="98" spans="1:28" x14ac:dyDescent="0.25">
      <c r="A98">
        <v>96</v>
      </c>
      <c r="B98">
        <v>3108</v>
      </c>
      <c r="C98">
        <v>3</v>
      </c>
      <c r="D98">
        <v>2</v>
      </c>
      <c r="E98">
        <v>-1.9519687248156301</v>
      </c>
      <c r="F98">
        <v>7.9287304778424499</v>
      </c>
      <c r="G98">
        <v>7.35443819975601</v>
      </c>
      <c r="H98">
        <v>-1.79254685665303</v>
      </c>
      <c r="I98">
        <v>8.5461583872136693</v>
      </c>
      <c r="J98">
        <v>9.2541764936108404</v>
      </c>
      <c r="K98">
        <v>-4.601613388574</v>
      </c>
      <c r="L98">
        <v>11.635728382532401</v>
      </c>
      <c r="M98">
        <v>11.4355184008071</v>
      </c>
      <c r="N98">
        <v>-4.7576885923243504</v>
      </c>
      <c r="O98">
        <v>11.808091204901499</v>
      </c>
      <c r="P98">
        <v>11.2847888785587</v>
      </c>
      <c r="Q98">
        <v>-3.0504795198162298</v>
      </c>
      <c r="R98">
        <v>11.1560549250236</v>
      </c>
      <c r="S98">
        <v>8.6797852333132504</v>
      </c>
      <c r="T98">
        <v>-5.71095966273956</v>
      </c>
      <c r="U98">
        <v>18.962677464526301</v>
      </c>
      <c r="V98">
        <v>15.850426112561699</v>
      </c>
      <c r="W98">
        <v>-5.0338461657393303</v>
      </c>
      <c r="X98">
        <v>17.885435838550901</v>
      </c>
      <c r="Y98">
        <v>15.960608552953699</v>
      </c>
      <c r="Z98">
        <v>-1.36505189842408</v>
      </c>
      <c r="AA98">
        <v>10.0121757338816</v>
      </c>
      <c r="AB98">
        <v>12.062552383188001</v>
      </c>
    </row>
    <row r="99" spans="1:28" x14ac:dyDescent="0.25">
      <c r="A99">
        <v>97</v>
      </c>
      <c r="B99">
        <v>3110</v>
      </c>
      <c r="C99">
        <v>3</v>
      </c>
      <c r="D99">
        <v>2</v>
      </c>
      <c r="E99">
        <v>5.0072991614879996</v>
      </c>
      <c r="F99">
        <v>-4.7176289480400797</v>
      </c>
      <c r="G99">
        <v>6.9230570177803603</v>
      </c>
      <c r="H99">
        <v>4.12501906786063</v>
      </c>
      <c r="I99">
        <v>-2.2899108754626201</v>
      </c>
      <c r="J99">
        <v>8.0653811020348503</v>
      </c>
      <c r="K99">
        <v>2.6232906264068698</v>
      </c>
      <c r="L99">
        <v>1.29311337406398</v>
      </c>
      <c r="M99">
        <v>10.9244805897146</v>
      </c>
      <c r="N99">
        <v>2.5925932152314202</v>
      </c>
      <c r="O99">
        <v>1.34452333336081</v>
      </c>
      <c r="P99">
        <v>10.8367840876043</v>
      </c>
      <c r="Q99">
        <v>3.4411328833154502</v>
      </c>
      <c r="R99">
        <v>-1.3789155782561699</v>
      </c>
      <c r="S99">
        <v>8.1697350036047496</v>
      </c>
      <c r="T99">
        <v>1.7670254270118599</v>
      </c>
      <c r="U99">
        <v>5.8591420004077701</v>
      </c>
      <c r="V99">
        <v>13.1400359789553</v>
      </c>
      <c r="W99">
        <v>1.70261139666809</v>
      </c>
      <c r="X99">
        <v>5.9081349515938504</v>
      </c>
      <c r="Y99">
        <v>13.134341950743</v>
      </c>
      <c r="Z99">
        <v>4.2896386121207604</v>
      </c>
      <c r="AA99">
        <v>-0.627307773052179</v>
      </c>
      <c r="AB99">
        <v>10.816693467946401</v>
      </c>
    </row>
    <row r="100" spans="1:28" x14ac:dyDescent="0.25">
      <c r="A100">
        <v>98</v>
      </c>
      <c r="B100">
        <v>3112</v>
      </c>
      <c r="C100">
        <v>3</v>
      </c>
      <c r="D100">
        <v>2</v>
      </c>
      <c r="E100">
        <v>-2.0370584954256401</v>
      </c>
      <c r="F100">
        <v>3.7032346909978</v>
      </c>
      <c r="G100">
        <v>6.4260197100825804</v>
      </c>
      <c r="H100">
        <v>-2.2735922992404598</v>
      </c>
      <c r="I100">
        <v>4.8307458252795596</v>
      </c>
      <c r="J100">
        <v>6.8371725401945298</v>
      </c>
      <c r="K100">
        <v>-3.7142991724954801</v>
      </c>
      <c r="L100">
        <v>7.56244920265239</v>
      </c>
      <c r="M100">
        <v>9.9257796260934299</v>
      </c>
      <c r="N100">
        <v>-3.4574965420379802</v>
      </c>
      <c r="O100">
        <v>7.1391579574057502</v>
      </c>
      <c r="P100">
        <v>9.9904434290834008</v>
      </c>
      <c r="Q100">
        <v>-2.5758664679351702</v>
      </c>
      <c r="R100">
        <v>5.3981223008926902</v>
      </c>
      <c r="S100">
        <v>7.1987238384695997</v>
      </c>
      <c r="T100">
        <v>-4.7959472499108298</v>
      </c>
      <c r="U100">
        <v>11.492780500175799</v>
      </c>
      <c r="V100">
        <v>11.0136415703547</v>
      </c>
      <c r="W100">
        <v>-4.8400539928828499</v>
      </c>
      <c r="X100">
        <v>11.5450886554046</v>
      </c>
      <c r="Y100">
        <v>10.9821070144458</v>
      </c>
      <c r="Z100">
        <v>-3.1813351430614101</v>
      </c>
      <c r="AA100">
        <v>7.4725225127978199</v>
      </c>
      <c r="AB100">
        <v>9.0406322829318704</v>
      </c>
    </row>
    <row r="101" spans="1:28" x14ac:dyDescent="0.25">
      <c r="A101">
        <v>99</v>
      </c>
      <c r="B101">
        <v>3113</v>
      </c>
      <c r="C101">
        <v>3</v>
      </c>
      <c r="D101">
        <v>2</v>
      </c>
      <c r="E101">
        <v>1.47918751666267</v>
      </c>
      <c r="F101">
        <v>3.0668639200433998</v>
      </c>
      <c r="G101">
        <v>4.9456682791827298</v>
      </c>
      <c r="H101">
        <v>0.87671241616858697</v>
      </c>
      <c r="I101">
        <v>4.3013019342384604</v>
      </c>
      <c r="J101">
        <v>6.4599468077307796</v>
      </c>
      <c r="K101">
        <v>-1.0289195101011099</v>
      </c>
      <c r="L101">
        <v>6.9897513715671504</v>
      </c>
      <c r="M101">
        <v>11.3669379269696</v>
      </c>
      <c r="N101">
        <v>-1.84923560171118</v>
      </c>
      <c r="O101">
        <v>8.04691049195098</v>
      </c>
      <c r="P101">
        <v>11.206383156292301</v>
      </c>
      <c r="Q101">
        <v>-0.90665440818473697</v>
      </c>
      <c r="R101">
        <v>6.9095384105232602</v>
      </c>
      <c r="S101">
        <v>7.0682283651548303</v>
      </c>
      <c r="T101">
        <v>-1.1639405654375901</v>
      </c>
      <c r="U101">
        <v>9.6919640391064696</v>
      </c>
      <c r="V101">
        <v>12.4810457958169</v>
      </c>
      <c r="W101">
        <v>-0.81867660479725102</v>
      </c>
      <c r="X101">
        <v>9.3711043952035702</v>
      </c>
      <c r="Y101">
        <v>12.443618998572999</v>
      </c>
      <c r="Z101">
        <v>1.1815729854392301</v>
      </c>
      <c r="AA101">
        <v>4.26796469456393</v>
      </c>
      <c r="AB101">
        <v>10.121759828695</v>
      </c>
    </row>
    <row r="102" spans="1:28" x14ac:dyDescent="0.25">
      <c r="A102">
        <v>100</v>
      </c>
      <c r="B102">
        <v>3114</v>
      </c>
      <c r="C102">
        <v>3</v>
      </c>
      <c r="D102">
        <v>2</v>
      </c>
      <c r="E102">
        <v>3.1641800476083102</v>
      </c>
      <c r="F102">
        <v>-4.30878841728242</v>
      </c>
      <c r="G102">
        <v>8.7639647349445795</v>
      </c>
      <c r="H102">
        <v>2.36841954430869</v>
      </c>
      <c r="I102">
        <v>-2.6267055384196798</v>
      </c>
      <c r="J102">
        <v>9.6114298852669808</v>
      </c>
      <c r="K102">
        <v>-2.35661620860559</v>
      </c>
      <c r="L102">
        <v>7.5000777781263102</v>
      </c>
      <c r="M102">
        <v>12.099048449460399</v>
      </c>
      <c r="N102">
        <v>-2.2106598641765101</v>
      </c>
      <c r="O102">
        <v>7.1102082803665496</v>
      </c>
      <c r="P102">
        <v>12.1718678099265</v>
      </c>
      <c r="Q102">
        <v>3.0850285514261802</v>
      </c>
      <c r="R102">
        <v>-3.1113846585516098</v>
      </c>
      <c r="S102">
        <v>9.96671921330503</v>
      </c>
      <c r="T102">
        <v>2.0313822922346301</v>
      </c>
      <c r="U102">
        <v>-0.51935855910212103</v>
      </c>
      <c r="V102">
        <v>14.819680178576601</v>
      </c>
      <c r="W102">
        <v>1.70830699413411</v>
      </c>
      <c r="X102">
        <v>0.15911617446511001</v>
      </c>
      <c r="Y102">
        <v>14.509141820355699</v>
      </c>
      <c r="Z102">
        <v>0.98203688769758402</v>
      </c>
      <c r="AA102">
        <v>-0.59186792531028298</v>
      </c>
      <c r="AB102">
        <v>11.7390976616436</v>
      </c>
    </row>
    <row r="103" spans="1:28" x14ac:dyDescent="0.25">
      <c r="A103">
        <v>101</v>
      </c>
      <c r="B103">
        <v>3123</v>
      </c>
      <c r="C103">
        <v>3</v>
      </c>
      <c r="D103">
        <v>2</v>
      </c>
      <c r="E103">
        <v>1.20344472422015</v>
      </c>
      <c r="F103">
        <v>2.4093727633603002</v>
      </c>
      <c r="G103">
        <v>6.9140197741802796</v>
      </c>
      <c r="H103">
        <v>0.64587592283399298</v>
      </c>
      <c r="I103">
        <v>3.6120789844376202</v>
      </c>
      <c r="J103">
        <v>8.6840789370105806</v>
      </c>
      <c r="K103">
        <v>-0.18254912054983799</v>
      </c>
      <c r="L103">
        <v>4.0759025647689402</v>
      </c>
      <c r="M103">
        <v>13.5900159885437</v>
      </c>
      <c r="N103">
        <v>-0.56078637232849005</v>
      </c>
      <c r="O103">
        <v>4.6442143224711803</v>
      </c>
      <c r="P103">
        <v>13.368880878483299</v>
      </c>
      <c r="Q103">
        <v>1.0495512133426499</v>
      </c>
      <c r="R103">
        <v>4.4441931733743401</v>
      </c>
      <c r="S103">
        <v>9.1054788157581203</v>
      </c>
      <c r="T103">
        <v>0.74573510607609905</v>
      </c>
      <c r="U103">
        <v>7.0827797850907803</v>
      </c>
      <c r="V103">
        <v>15.4499486138532</v>
      </c>
      <c r="W103">
        <v>0.53615102713101004</v>
      </c>
      <c r="X103">
        <v>7.50101873530883</v>
      </c>
      <c r="Y103">
        <v>15.2108017887402</v>
      </c>
      <c r="Z103">
        <v>0.414516362670456</v>
      </c>
      <c r="AA103">
        <v>6.47518459509247</v>
      </c>
      <c r="AB103">
        <v>10.3466265725172</v>
      </c>
    </row>
    <row r="104" spans="1:28" x14ac:dyDescent="0.25">
      <c r="A104">
        <v>102</v>
      </c>
      <c r="B104">
        <v>3128</v>
      </c>
      <c r="C104">
        <v>3</v>
      </c>
      <c r="D104">
        <v>2</v>
      </c>
      <c r="E104">
        <v>0.78810139330046203</v>
      </c>
      <c r="F104">
        <v>2.2194489999907399</v>
      </c>
      <c r="G104">
        <v>4.3152102975408599</v>
      </c>
      <c r="H104">
        <v>0.44073030611284503</v>
      </c>
      <c r="I104">
        <v>3.6314887243970899</v>
      </c>
      <c r="J104">
        <v>5.4688418096691498</v>
      </c>
      <c r="K104">
        <v>-8.0027067041809605E-2</v>
      </c>
      <c r="L104">
        <v>5.6755028413888198</v>
      </c>
      <c r="M104">
        <v>8.3051387846103708</v>
      </c>
      <c r="N104">
        <v>1.166314949212E-2</v>
      </c>
      <c r="O104">
        <v>5.4874943343969402</v>
      </c>
      <c r="P104">
        <v>8.31802934257483</v>
      </c>
      <c r="Q104">
        <v>1.02433194673179</v>
      </c>
      <c r="R104">
        <v>2.9058644554936</v>
      </c>
      <c r="S104">
        <v>5.5578696280230799</v>
      </c>
      <c r="T104">
        <v>-0.11253424119200001</v>
      </c>
      <c r="U104">
        <v>5.57187229253572</v>
      </c>
      <c r="V104">
        <v>12.3805949452499</v>
      </c>
      <c r="W104">
        <v>5.09046679009868E-2</v>
      </c>
      <c r="X104">
        <v>5.3090860649268699</v>
      </c>
      <c r="Y104">
        <v>12.4462213587836</v>
      </c>
      <c r="Z104">
        <v>0.79592510375818704</v>
      </c>
      <c r="AA104">
        <v>3.0672579910251501</v>
      </c>
      <c r="AB104">
        <v>9.4957625417906897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5EF78-7F3C-4C25-B834-51A55F6DE842}">
  <dimension ref="A1:V103"/>
  <sheetViews>
    <sheetView zoomScaleNormal="100" workbookViewId="0">
      <selection activeCell="C12" sqref="C12"/>
    </sheetView>
  </sheetViews>
  <sheetFormatPr defaultRowHeight="15" x14ac:dyDescent="0.25"/>
  <cols>
    <col min="1" max="1" width="15" customWidth="1"/>
    <col min="2" max="2" width="14.140625" customWidth="1"/>
    <col min="3" max="4" width="11.5703125" customWidth="1"/>
  </cols>
  <sheetData>
    <row r="1" spans="1:22" x14ac:dyDescent="0.25">
      <c r="A1" t="s">
        <v>19</v>
      </c>
      <c r="B1" t="s">
        <v>21</v>
      </c>
      <c r="C1" t="s">
        <v>14</v>
      </c>
      <c r="D1" t="s">
        <v>15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</row>
    <row r="2" spans="1:22" x14ac:dyDescent="0.25">
      <c r="A2">
        <v>1</v>
      </c>
      <c r="B2" s="1">
        <v>1002</v>
      </c>
      <c r="C2">
        <v>1</v>
      </c>
      <c r="D2">
        <v>1</v>
      </c>
      <c r="E2">
        <v>2.5758696219775001</v>
      </c>
      <c r="F2">
        <v>-2.2880118035744701</v>
      </c>
      <c r="G2">
        <v>15.226540024807999</v>
      </c>
      <c r="H2">
        <v>0.44537345101217801</v>
      </c>
      <c r="I2">
        <v>3.87686615903411</v>
      </c>
      <c r="J2">
        <v>9.9362156734769407</v>
      </c>
      <c r="K2">
        <v>0.97400577961409995</v>
      </c>
      <c r="L2">
        <v>2.86899738937419</v>
      </c>
      <c r="M2">
        <v>8.0001659459981802</v>
      </c>
      <c r="N2">
        <v>-1.75435950489531</v>
      </c>
      <c r="O2">
        <v>7.3035490184150902</v>
      </c>
      <c r="P2">
        <v>6.3517243579210199</v>
      </c>
      <c r="Q2">
        <v>-0.73018539700978202</v>
      </c>
      <c r="R2">
        <v>6.0136286454108498</v>
      </c>
      <c r="S2">
        <v>6.1242813477438398</v>
      </c>
      <c r="T2">
        <v>-2.7133841642240002</v>
      </c>
      <c r="U2">
        <v>6.3612032574442097</v>
      </c>
      <c r="V2">
        <v>6.81597027089229</v>
      </c>
    </row>
    <row r="3" spans="1:22" x14ac:dyDescent="0.25">
      <c r="A3">
        <v>2</v>
      </c>
      <c r="B3">
        <v>1004</v>
      </c>
      <c r="C3">
        <v>1</v>
      </c>
      <c r="D3">
        <v>1</v>
      </c>
      <c r="E3">
        <v>1.0259755865957301</v>
      </c>
      <c r="F3">
        <v>6.6536874145939304</v>
      </c>
      <c r="G3">
        <v>14.3275490056512</v>
      </c>
      <c r="H3">
        <v>1.13897696921175</v>
      </c>
      <c r="I3">
        <v>6.5808026864231302</v>
      </c>
      <c r="J3">
        <v>11.3077066443112</v>
      </c>
      <c r="K3">
        <v>2.5713543296408701</v>
      </c>
      <c r="L3">
        <v>5.96940360651943</v>
      </c>
      <c r="M3">
        <v>7.68262978782729</v>
      </c>
      <c r="N3">
        <v>-0.93927508969956197</v>
      </c>
      <c r="O3">
        <v>4.9765303685339104</v>
      </c>
      <c r="P3">
        <v>8.6420906346936395</v>
      </c>
      <c r="Q3">
        <v>0.103776036583728</v>
      </c>
      <c r="R3">
        <v>5.6224541746223098</v>
      </c>
      <c r="S3">
        <v>8.3549208698214397</v>
      </c>
      <c r="T3">
        <v>-0.95706533937335903</v>
      </c>
      <c r="U3">
        <v>4.6161802167134303</v>
      </c>
      <c r="V3">
        <v>9.0847048759755396</v>
      </c>
    </row>
    <row r="4" spans="1:22" x14ac:dyDescent="0.25">
      <c r="A4">
        <v>3</v>
      </c>
      <c r="B4">
        <v>1007</v>
      </c>
      <c r="C4">
        <v>1</v>
      </c>
      <c r="D4">
        <v>1</v>
      </c>
      <c r="E4">
        <v>1.7653180196754901</v>
      </c>
      <c r="F4">
        <v>-2.0178311241742399</v>
      </c>
      <c r="G4">
        <v>18.6845690133982</v>
      </c>
      <c r="H4">
        <v>-6.1578064531429</v>
      </c>
      <c r="I4">
        <v>14.879171795554299</v>
      </c>
      <c r="J4">
        <v>21.066928161836898</v>
      </c>
      <c r="K4">
        <v>-1.7690926821267801</v>
      </c>
      <c r="L4">
        <v>4.9219248690913604</v>
      </c>
      <c r="M4">
        <v>13.6306061270709</v>
      </c>
      <c r="N4">
        <v>5.2900781051123698</v>
      </c>
      <c r="O4">
        <v>-4.69867504827051</v>
      </c>
      <c r="P4">
        <v>12.1340120463591</v>
      </c>
      <c r="Q4">
        <v>0.12362839105585401</v>
      </c>
      <c r="R4">
        <v>3.9808655779742699</v>
      </c>
      <c r="S4">
        <v>15.0201705975058</v>
      </c>
      <c r="T4">
        <v>2.38588491786463</v>
      </c>
      <c r="U4">
        <v>-4.9105390420636201</v>
      </c>
      <c r="V4">
        <v>15.9670080690892</v>
      </c>
    </row>
    <row r="5" spans="1:22" x14ac:dyDescent="0.25">
      <c r="A5">
        <v>4</v>
      </c>
      <c r="B5">
        <v>1009</v>
      </c>
      <c r="C5">
        <v>1</v>
      </c>
      <c r="D5">
        <v>1</v>
      </c>
      <c r="E5">
        <v>1.1236708742768999</v>
      </c>
      <c r="F5">
        <v>5.8800865466257504</v>
      </c>
      <c r="G5">
        <v>13.879955725011699</v>
      </c>
      <c r="H5">
        <v>-1.0827046215253</v>
      </c>
      <c r="I5">
        <v>-1.3421756755394301</v>
      </c>
      <c r="J5">
        <v>14.733222227222599</v>
      </c>
      <c r="K5">
        <v>-0.134381857316583</v>
      </c>
      <c r="L5">
        <v>5.9939260566882302</v>
      </c>
      <c r="M5">
        <v>8.4191290215080805</v>
      </c>
      <c r="N5">
        <v>-2.5269339508789499</v>
      </c>
      <c r="O5">
        <v>7.9755360561823396</v>
      </c>
      <c r="P5">
        <v>7.4516947245469902</v>
      </c>
      <c r="Q5">
        <v>-2.16704639249234</v>
      </c>
      <c r="R5">
        <v>2.7305515683901298</v>
      </c>
      <c r="S5">
        <v>10.094045722407801</v>
      </c>
      <c r="T5">
        <v>-1.3074891316827599</v>
      </c>
      <c r="U5">
        <v>4.4683642911119197</v>
      </c>
      <c r="V5">
        <v>7.8297603966385099</v>
      </c>
    </row>
    <row r="6" spans="1:22" x14ac:dyDescent="0.25">
      <c r="A6">
        <v>5</v>
      </c>
      <c r="B6">
        <v>1010</v>
      </c>
      <c r="C6">
        <v>1</v>
      </c>
      <c r="D6">
        <v>1</v>
      </c>
      <c r="E6">
        <v>-0.45826050719480099</v>
      </c>
      <c r="F6">
        <v>4.5000577063021803</v>
      </c>
      <c r="G6">
        <v>16.041258439987299</v>
      </c>
      <c r="H6">
        <v>6.4282262295575103</v>
      </c>
      <c r="I6">
        <v>-5.4938188277757103</v>
      </c>
      <c r="J6">
        <v>18.629097263303098</v>
      </c>
      <c r="K6">
        <v>-0.40645571713433198</v>
      </c>
      <c r="L6">
        <v>7.6248972415443896</v>
      </c>
      <c r="M6">
        <v>8.6167223030801292</v>
      </c>
      <c r="N6">
        <v>-2.29712948344635</v>
      </c>
      <c r="O6">
        <v>9.0305309957303308</v>
      </c>
      <c r="P6">
        <v>6.2929669039337899</v>
      </c>
      <c r="Q6">
        <v>0.43845188607959401</v>
      </c>
      <c r="R6">
        <v>1.30836994259683</v>
      </c>
      <c r="S6">
        <v>14.2911892022007</v>
      </c>
      <c r="T6">
        <v>-6.2409479307188898</v>
      </c>
      <c r="U6">
        <v>13.2165904405572</v>
      </c>
      <c r="V6">
        <v>8.1062645238292195</v>
      </c>
    </row>
    <row r="7" spans="1:22" x14ac:dyDescent="0.25">
      <c r="A7">
        <v>6</v>
      </c>
      <c r="B7">
        <v>1011</v>
      </c>
      <c r="C7">
        <v>1</v>
      </c>
      <c r="D7">
        <v>1</v>
      </c>
      <c r="E7">
        <v>-1.4081779139763599</v>
      </c>
      <c r="F7">
        <v>8.1622627272349195</v>
      </c>
      <c r="G7">
        <v>14.87167795011</v>
      </c>
      <c r="H7">
        <v>-1.1006620138250001</v>
      </c>
      <c r="I7">
        <v>3.26228460615854</v>
      </c>
      <c r="J7">
        <v>16.383642022246399</v>
      </c>
      <c r="K7">
        <v>1.0302713823780201</v>
      </c>
      <c r="L7">
        <v>3.0126905599943701</v>
      </c>
      <c r="M7">
        <v>6.0562634450268797</v>
      </c>
      <c r="N7">
        <v>-1.76913038365785</v>
      </c>
      <c r="O7">
        <v>7.3087349548953</v>
      </c>
      <c r="P7">
        <v>6.8320649038635501</v>
      </c>
      <c r="Q7">
        <v>-4.3139515444983401</v>
      </c>
      <c r="R7">
        <v>10.254730156370099</v>
      </c>
      <c r="S7">
        <v>8.6325248297738408</v>
      </c>
      <c r="T7">
        <v>0.49193636482067998</v>
      </c>
      <c r="U7">
        <v>3.8871629591380601</v>
      </c>
      <c r="V7">
        <v>4.4080375787494201</v>
      </c>
    </row>
    <row r="8" spans="1:22" x14ac:dyDescent="0.25">
      <c r="A8">
        <v>7</v>
      </c>
      <c r="B8">
        <v>1012</v>
      </c>
      <c r="C8">
        <v>1</v>
      </c>
      <c r="D8">
        <v>1</v>
      </c>
      <c r="E8">
        <v>-0.81901129106029702</v>
      </c>
      <c r="F8">
        <v>10.244514618607401</v>
      </c>
      <c r="G8">
        <v>14.745171541341501</v>
      </c>
      <c r="H8">
        <v>1.75217044171873</v>
      </c>
      <c r="I8">
        <v>-0.76672546413891596</v>
      </c>
      <c r="J8">
        <v>16.902203530064298</v>
      </c>
      <c r="K8">
        <v>-0.15792651084926099</v>
      </c>
      <c r="L8">
        <v>2.2433410925064101</v>
      </c>
      <c r="M8">
        <v>13.8126480014334</v>
      </c>
      <c r="N8">
        <v>1.2986579194494501</v>
      </c>
      <c r="O8">
        <v>2.2219927287114598</v>
      </c>
      <c r="P8">
        <v>8.8571481003188808</v>
      </c>
      <c r="Q8">
        <v>0.61372350572686096</v>
      </c>
      <c r="R8">
        <v>0.84990014605195596</v>
      </c>
      <c r="S8">
        <v>10.8869131564068</v>
      </c>
      <c r="T8">
        <v>0.40914172159434797</v>
      </c>
      <c r="U8">
        <v>-0.66117326605399296</v>
      </c>
      <c r="V8">
        <v>14.9227301207578</v>
      </c>
    </row>
    <row r="9" spans="1:22" x14ac:dyDescent="0.25">
      <c r="A9">
        <v>8</v>
      </c>
      <c r="B9">
        <v>1013</v>
      </c>
      <c r="C9">
        <v>1</v>
      </c>
      <c r="D9">
        <v>1</v>
      </c>
      <c r="E9">
        <v>2.58330083074285</v>
      </c>
      <c r="F9">
        <v>2.8623408871876301</v>
      </c>
      <c r="G9">
        <v>16.4909125100911</v>
      </c>
      <c r="H9">
        <v>7.3805001646507904</v>
      </c>
      <c r="I9">
        <v>-12.4171861014581</v>
      </c>
      <c r="J9">
        <v>23.3786309748529</v>
      </c>
      <c r="K9">
        <v>-0.27257612126702602</v>
      </c>
      <c r="L9">
        <v>5.0938647606629202</v>
      </c>
      <c r="M9">
        <v>10.4367987856543</v>
      </c>
      <c r="N9">
        <v>-0.84259220300039905</v>
      </c>
      <c r="O9">
        <v>6.0397539722925</v>
      </c>
      <c r="P9">
        <v>8.5868972355473598</v>
      </c>
      <c r="Q9">
        <v>4.5863485604765</v>
      </c>
      <c r="R9">
        <v>-8.3034721995674605</v>
      </c>
      <c r="S9">
        <v>18.069372170045</v>
      </c>
      <c r="T9">
        <v>-5.0222111175422297</v>
      </c>
      <c r="U9">
        <v>12.449829113626199</v>
      </c>
      <c r="V9">
        <v>7.8366619239235602</v>
      </c>
    </row>
    <row r="10" spans="1:22" x14ac:dyDescent="0.25">
      <c r="A10">
        <v>9</v>
      </c>
      <c r="B10">
        <v>1017</v>
      </c>
      <c r="C10">
        <v>1</v>
      </c>
      <c r="D10">
        <v>1</v>
      </c>
      <c r="E10">
        <v>8.5769434310418405E-2</v>
      </c>
      <c r="F10">
        <v>3.6897246247378601</v>
      </c>
      <c r="G10">
        <v>14.004723248260101</v>
      </c>
      <c r="H10">
        <v>-1.71831102389736</v>
      </c>
      <c r="I10">
        <v>3.9224567107478898</v>
      </c>
      <c r="J10">
        <v>9.1710438812932509</v>
      </c>
      <c r="K10">
        <v>1.14849010295506</v>
      </c>
      <c r="L10">
        <v>4.3527804189227401</v>
      </c>
      <c r="M10">
        <v>11.480436583783099</v>
      </c>
      <c r="N10">
        <v>0.28234645159383098</v>
      </c>
      <c r="O10">
        <v>3.3473945643991501</v>
      </c>
      <c r="P10">
        <v>7.4142031694866501</v>
      </c>
      <c r="Q10">
        <v>-3.0093013933792698</v>
      </c>
      <c r="R10">
        <v>7.1132799367093797</v>
      </c>
      <c r="S10">
        <v>5.9989533208321797</v>
      </c>
      <c r="T10">
        <v>-0.421884530721503</v>
      </c>
      <c r="U10">
        <v>2.4738769510015302</v>
      </c>
      <c r="V10">
        <v>10.731444650050401</v>
      </c>
    </row>
    <row r="11" spans="1:22" x14ac:dyDescent="0.25">
      <c r="A11">
        <v>10</v>
      </c>
      <c r="B11">
        <v>1018</v>
      </c>
      <c r="C11">
        <v>1</v>
      </c>
      <c r="D11">
        <v>1</v>
      </c>
      <c r="E11">
        <v>-5.4205954750167598</v>
      </c>
      <c r="F11">
        <v>16.246869119629199</v>
      </c>
      <c r="G11">
        <v>16.030443431632499</v>
      </c>
      <c r="H11">
        <v>-5.5886512342910297</v>
      </c>
      <c r="I11">
        <v>14.732211080486801</v>
      </c>
      <c r="J11">
        <v>10.279041980567699</v>
      </c>
      <c r="K11">
        <v>1.7838831282183101</v>
      </c>
      <c r="L11">
        <v>4.5346961814444304</v>
      </c>
      <c r="M11">
        <v>10.335535443520399</v>
      </c>
      <c r="N11">
        <v>-0.32306304786981199</v>
      </c>
      <c r="O11">
        <v>7.4007529112151502</v>
      </c>
      <c r="P11">
        <v>8.6438667214764102</v>
      </c>
      <c r="Q11">
        <v>-1.2550699972861401</v>
      </c>
      <c r="R11">
        <v>6.3493488501996502</v>
      </c>
      <c r="S11">
        <v>9.3751800041570998</v>
      </c>
      <c r="T11">
        <v>-3.7870902093904499</v>
      </c>
      <c r="U11">
        <v>8.7886698326907293</v>
      </c>
      <c r="V11">
        <v>8.3197611515101695</v>
      </c>
    </row>
    <row r="12" spans="1:22" x14ac:dyDescent="0.25">
      <c r="A12">
        <v>11</v>
      </c>
      <c r="B12">
        <v>1019</v>
      </c>
      <c r="C12">
        <v>1</v>
      </c>
      <c r="D12">
        <v>1</v>
      </c>
      <c r="E12">
        <v>-6.7859271459253296</v>
      </c>
      <c r="F12">
        <v>12.091364056465901</v>
      </c>
      <c r="G12">
        <v>15.950125238975099</v>
      </c>
      <c r="H12">
        <v>-2.93326025678549</v>
      </c>
      <c r="I12">
        <v>8.1500255023929302</v>
      </c>
      <c r="J12">
        <v>11.1782520031977</v>
      </c>
      <c r="K12">
        <v>1.86667597039717</v>
      </c>
      <c r="L12">
        <v>3.36553286615323</v>
      </c>
      <c r="M12">
        <v>12.0123077556526</v>
      </c>
      <c r="N12">
        <v>-2.7596206157985299</v>
      </c>
      <c r="O12">
        <v>6.5505023016829496</v>
      </c>
      <c r="P12">
        <v>8.8996456229081708</v>
      </c>
      <c r="Q12">
        <v>0.66516772952661796</v>
      </c>
      <c r="R12">
        <v>3.6999164649861598</v>
      </c>
      <c r="S12">
        <v>8.7375869794330701</v>
      </c>
      <c r="T12">
        <v>-1.6309449192666301</v>
      </c>
      <c r="U12">
        <v>6.85792734565036</v>
      </c>
      <c r="V12">
        <v>8.8154597884762307</v>
      </c>
    </row>
    <row r="13" spans="1:22" x14ac:dyDescent="0.25">
      <c r="A13">
        <v>12</v>
      </c>
      <c r="B13">
        <v>1020</v>
      </c>
      <c r="C13">
        <v>1</v>
      </c>
      <c r="D13">
        <v>1</v>
      </c>
      <c r="E13">
        <v>-1.42019846163839</v>
      </c>
      <c r="F13">
        <v>4.7174343831069399</v>
      </c>
      <c r="G13">
        <v>13.004355306242999</v>
      </c>
      <c r="H13">
        <v>1.5174953169301899</v>
      </c>
      <c r="I13">
        <v>6.8654669336767601E-2</v>
      </c>
      <c r="J13">
        <v>23.050785142500899</v>
      </c>
      <c r="K13">
        <v>-1.4808575161531099</v>
      </c>
      <c r="L13">
        <v>4.70672186968073</v>
      </c>
      <c r="M13">
        <v>12.040532205670999</v>
      </c>
      <c r="N13">
        <v>-1.3242143095936101</v>
      </c>
      <c r="O13">
        <v>5.7286640443115999</v>
      </c>
      <c r="P13">
        <v>7.2570272808331104</v>
      </c>
      <c r="Q13">
        <v>-1.76564719708392</v>
      </c>
      <c r="R13">
        <v>4.8163434693535399</v>
      </c>
      <c r="S13">
        <v>16.599147517011399</v>
      </c>
      <c r="T13">
        <v>0.13226652615631401</v>
      </c>
      <c r="U13">
        <v>2.3251381690056401</v>
      </c>
      <c r="V13">
        <v>9.7503517624781999</v>
      </c>
    </row>
    <row r="14" spans="1:22" x14ac:dyDescent="0.25">
      <c r="A14">
        <v>13</v>
      </c>
      <c r="B14">
        <v>1022</v>
      </c>
      <c r="C14">
        <v>1</v>
      </c>
      <c r="D14">
        <v>1</v>
      </c>
      <c r="E14">
        <v>2.5382370759921602</v>
      </c>
      <c r="F14">
        <v>-0.71981205565052198</v>
      </c>
      <c r="G14">
        <v>16.788937535568898</v>
      </c>
      <c r="H14">
        <v>-5.27113750314789</v>
      </c>
      <c r="I14">
        <v>7.87928308907125</v>
      </c>
      <c r="J14">
        <v>16.643524230392</v>
      </c>
      <c r="K14">
        <v>-1.58556859102911</v>
      </c>
      <c r="L14">
        <v>3.6459654732479501</v>
      </c>
      <c r="M14">
        <v>13.058913083764899</v>
      </c>
      <c r="N14">
        <v>0.13832189967574099</v>
      </c>
      <c r="O14">
        <v>2.7358544762519301</v>
      </c>
      <c r="P14">
        <v>9.9404830990155801</v>
      </c>
      <c r="Q14">
        <v>-3.39523926547351</v>
      </c>
      <c r="R14">
        <v>4.6765157171474403</v>
      </c>
      <c r="S14">
        <v>14.4591207042428</v>
      </c>
      <c r="T14">
        <v>-0.57723048202500504</v>
      </c>
      <c r="U14">
        <v>2.0699894689802698</v>
      </c>
      <c r="V14">
        <v>11.336869495933399</v>
      </c>
    </row>
    <row r="15" spans="1:22" x14ac:dyDescent="0.25">
      <c r="A15">
        <v>14</v>
      </c>
      <c r="B15">
        <v>1024</v>
      </c>
      <c r="C15">
        <v>1</v>
      </c>
      <c r="D15">
        <v>1</v>
      </c>
      <c r="E15">
        <v>-5.16796639741065</v>
      </c>
      <c r="F15">
        <v>11.402667568659201</v>
      </c>
      <c r="G15">
        <v>14.976637119451301</v>
      </c>
      <c r="H15">
        <v>-0.21247896297998201</v>
      </c>
      <c r="I15">
        <v>4.3418880886583002</v>
      </c>
      <c r="J15">
        <v>20.7494595421471</v>
      </c>
      <c r="K15">
        <v>-0.38676590811470801</v>
      </c>
      <c r="L15">
        <v>4.7419351494599304</v>
      </c>
      <c r="M15">
        <v>14.227839219271701</v>
      </c>
      <c r="N15">
        <v>-5.2961369132068796</v>
      </c>
      <c r="O15">
        <v>10.474559675909401</v>
      </c>
      <c r="P15">
        <v>10.1223307888921</v>
      </c>
      <c r="Q15">
        <v>-0.60150652028635898</v>
      </c>
      <c r="R15">
        <v>5.5181284986790997</v>
      </c>
      <c r="S15">
        <v>15.929465639952699</v>
      </c>
      <c r="T15">
        <v>-1.9545619613945899</v>
      </c>
      <c r="U15">
        <v>5.79836304412731</v>
      </c>
      <c r="V15">
        <v>11.526466476070301</v>
      </c>
    </row>
    <row r="16" spans="1:22" x14ac:dyDescent="0.25">
      <c r="A16">
        <v>15</v>
      </c>
      <c r="B16">
        <v>1026</v>
      </c>
      <c r="C16">
        <v>1</v>
      </c>
      <c r="D16">
        <v>1</v>
      </c>
      <c r="E16">
        <v>-0.64726203368450996</v>
      </c>
      <c r="F16">
        <v>1.55626142632395</v>
      </c>
      <c r="G16">
        <v>15.3237548776951</v>
      </c>
      <c r="H16">
        <v>-2.5120108523670801</v>
      </c>
      <c r="I16">
        <v>9.0908811422657507</v>
      </c>
      <c r="J16">
        <v>16.491513542061099</v>
      </c>
      <c r="K16">
        <v>0.76903876857812403</v>
      </c>
      <c r="L16">
        <v>3.0706349755788498</v>
      </c>
      <c r="M16">
        <v>9.2866659121331008</v>
      </c>
      <c r="N16">
        <v>0.14237986740919201</v>
      </c>
      <c r="O16">
        <v>1.2632920852834499</v>
      </c>
      <c r="P16">
        <v>10.7045682487379</v>
      </c>
      <c r="Q16">
        <v>-2.9130645538312798</v>
      </c>
      <c r="R16">
        <v>7.4934861709798204</v>
      </c>
      <c r="S16">
        <v>13.5540877670858</v>
      </c>
      <c r="T16">
        <v>-0.29986043714852101</v>
      </c>
      <c r="U16">
        <v>3.5537774191624498</v>
      </c>
      <c r="V16">
        <v>8.0425872754753094</v>
      </c>
    </row>
    <row r="17" spans="1:22" x14ac:dyDescent="0.25">
      <c r="A17">
        <v>16</v>
      </c>
      <c r="B17">
        <v>1027</v>
      </c>
      <c r="C17">
        <v>1</v>
      </c>
      <c r="D17">
        <v>1</v>
      </c>
      <c r="E17">
        <v>1.006314935971</v>
      </c>
      <c r="F17">
        <v>5.5361313358392499</v>
      </c>
      <c r="G17">
        <v>20.114826552654101</v>
      </c>
      <c r="H17">
        <v>-3.9332050284674298</v>
      </c>
      <c r="I17">
        <v>8.9587215448609605</v>
      </c>
      <c r="J17">
        <v>20.139194989646899</v>
      </c>
      <c r="K17">
        <v>2.3365306947982698</v>
      </c>
      <c r="L17">
        <v>1.1725040039927701</v>
      </c>
      <c r="M17">
        <v>10.3937784163645</v>
      </c>
      <c r="N17">
        <v>-1.8267346577694099</v>
      </c>
      <c r="O17">
        <v>5.49138111842539</v>
      </c>
      <c r="P17">
        <v>9.9126497972501895</v>
      </c>
      <c r="Q17">
        <v>1.3929392363442099</v>
      </c>
      <c r="R17">
        <v>1.4707084337619301</v>
      </c>
      <c r="S17">
        <v>15.519324397854801</v>
      </c>
      <c r="T17">
        <v>-3.6236106719022103E-2</v>
      </c>
      <c r="U17">
        <v>3.0489903689399598</v>
      </c>
      <c r="V17">
        <v>8.9388194403246306</v>
      </c>
    </row>
    <row r="18" spans="1:22" x14ac:dyDescent="0.25">
      <c r="A18">
        <v>17</v>
      </c>
      <c r="B18">
        <v>1029</v>
      </c>
      <c r="C18">
        <v>1</v>
      </c>
      <c r="D18">
        <v>1</v>
      </c>
      <c r="E18">
        <v>-2.89929909824115</v>
      </c>
      <c r="F18">
        <v>8.4296424783555395</v>
      </c>
      <c r="G18">
        <v>16.4532859257917</v>
      </c>
      <c r="H18">
        <v>0.57379670742786004</v>
      </c>
      <c r="I18">
        <v>9.1720738202271904E-2</v>
      </c>
      <c r="J18">
        <v>9.7365507867885608</v>
      </c>
      <c r="K18">
        <v>0.33508365286207498</v>
      </c>
      <c r="L18">
        <v>9.4317265729545205</v>
      </c>
      <c r="M18">
        <v>10.338071454493999</v>
      </c>
      <c r="N18">
        <v>-2.3341894718059502</v>
      </c>
      <c r="O18">
        <v>4.7781369230796598</v>
      </c>
      <c r="P18">
        <v>11.9175317864504</v>
      </c>
      <c r="Q18">
        <v>0.39289738940734498</v>
      </c>
      <c r="R18">
        <v>2.5009644809455698</v>
      </c>
      <c r="S18">
        <v>6.8866468224086104</v>
      </c>
      <c r="T18">
        <v>-3.92835685055773</v>
      </c>
      <c r="U18">
        <v>12.002747623929301</v>
      </c>
      <c r="V18">
        <v>9.8872475289077393</v>
      </c>
    </row>
    <row r="19" spans="1:22" x14ac:dyDescent="0.25">
      <c r="A19">
        <v>18</v>
      </c>
      <c r="B19">
        <v>1030</v>
      </c>
      <c r="C19">
        <v>1</v>
      </c>
      <c r="D19">
        <v>1</v>
      </c>
      <c r="E19">
        <v>-2.2221122437582101</v>
      </c>
      <c r="F19">
        <v>7.8348037691950099</v>
      </c>
      <c r="G19">
        <v>14.8065337368239</v>
      </c>
      <c r="H19">
        <v>-0.74977078293051203</v>
      </c>
      <c r="I19">
        <v>4.8562093222184703</v>
      </c>
      <c r="J19">
        <v>9.1001314160426396</v>
      </c>
      <c r="K19">
        <v>1.5713138937762601</v>
      </c>
      <c r="L19">
        <v>4.4074381866472496</v>
      </c>
      <c r="M19">
        <v>9.2869560751394609</v>
      </c>
      <c r="N19">
        <v>-2.4663886310496799</v>
      </c>
      <c r="O19">
        <v>7.1132169656872</v>
      </c>
      <c r="P19">
        <v>8.4304868650632194</v>
      </c>
      <c r="Q19">
        <v>-0.87843566829037401</v>
      </c>
      <c r="R19">
        <v>5.8116563155195697</v>
      </c>
      <c r="S19">
        <v>6.9131548652760904</v>
      </c>
      <c r="T19">
        <v>-1.18837842044618</v>
      </c>
      <c r="U19">
        <v>5.8818919032774604</v>
      </c>
      <c r="V19">
        <v>7.55315958857142</v>
      </c>
    </row>
    <row r="20" spans="1:22" x14ac:dyDescent="0.25">
      <c r="A20">
        <v>19</v>
      </c>
      <c r="B20">
        <v>1031</v>
      </c>
      <c r="C20">
        <v>1</v>
      </c>
      <c r="D20">
        <v>1</v>
      </c>
      <c r="E20">
        <v>-7.5095746596674502</v>
      </c>
      <c r="F20">
        <v>12.297698736014301</v>
      </c>
      <c r="G20">
        <v>13.4390130535515</v>
      </c>
      <c r="H20">
        <v>2.8015258654863699</v>
      </c>
      <c r="I20">
        <v>-7.7829325225408699</v>
      </c>
      <c r="J20">
        <v>16.9221017035713</v>
      </c>
      <c r="K20">
        <v>0.93943858760425203</v>
      </c>
      <c r="L20">
        <v>2.7607204600678998</v>
      </c>
      <c r="M20">
        <v>9.3281829451455902</v>
      </c>
      <c r="N20">
        <v>-3.9587644904445098</v>
      </c>
      <c r="O20">
        <v>9.0570244995585707</v>
      </c>
      <c r="P20">
        <v>7.8097681496685203</v>
      </c>
      <c r="Q20">
        <v>2.0571309003501601</v>
      </c>
      <c r="R20">
        <v>-4.5289549265498099</v>
      </c>
      <c r="S20">
        <v>12.873582594111999</v>
      </c>
      <c r="T20">
        <v>-2.1848868338343199</v>
      </c>
      <c r="U20">
        <v>6.0826584337419298</v>
      </c>
      <c r="V20">
        <v>8.3990880309557596</v>
      </c>
    </row>
    <row r="21" spans="1:22" x14ac:dyDescent="0.25">
      <c r="A21">
        <v>20</v>
      </c>
      <c r="B21">
        <v>1032</v>
      </c>
      <c r="C21">
        <v>1</v>
      </c>
      <c r="D21">
        <v>1</v>
      </c>
      <c r="E21">
        <v>-0.82888033522960503</v>
      </c>
      <c r="F21">
        <v>3.48240683463204</v>
      </c>
      <c r="G21">
        <v>12.710404380386001</v>
      </c>
      <c r="H21">
        <v>0.56371489896325</v>
      </c>
      <c r="I21">
        <v>0.95469248053383804</v>
      </c>
      <c r="J21">
        <v>9.7145793219575491</v>
      </c>
      <c r="K21">
        <v>-1.73913556162101</v>
      </c>
      <c r="L21">
        <v>8.5886329018574692</v>
      </c>
      <c r="M21">
        <v>8.15115519685164</v>
      </c>
      <c r="N21">
        <v>-1.3239876780024999</v>
      </c>
      <c r="O21">
        <v>5.4218820086581898</v>
      </c>
      <c r="P21">
        <v>7.9128128184117701</v>
      </c>
      <c r="Q21">
        <v>0.453934158965419</v>
      </c>
      <c r="R21">
        <v>1.6077397499949899</v>
      </c>
      <c r="S21">
        <v>7.88655232010173</v>
      </c>
      <c r="T21">
        <v>-3.1202846551796499</v>
      </c>
      <c r="U21">
        <v>8.8231897990523507</v>
      </c>
      <c r="V21">
        <v>8.8669027922961394</v>
      </c>
    </row>
    <row r="22" spans="1:22" x14ac:dyDescent="0.25">
      <c r="A22">
        <v>21</v>
      </c>
      <c r="B22">
        <v>1033</v>
      </c>
      <c r="C22">
        <v>1</v>
      </c>
      <c r="D22">
        <v>1</v>
      </c>
      <c r="E22">
        <v>-4.6300563462564801</v>
      </c>
      <c r="F22">
        <v>10.0964095235228</v>
      </c>
      <c r="G22">
        <v>11.7479629778926</v>
      </c>
      <c r="H22">
        <v>1.01683957776458</v>
      </c>
      <c r="I22">
        <v>2.1319384810608302</v>
      </c>
      <c r="J22">
        <v>11.2506101175297</v>
      </c>
      <c r="K22">
        <v>-0.59342406538378301</v>
      </c>
      <c r="L22">
        <v>7.7910286890873399</v>
      </c>
      <c r="M22">
        <v>15.0501864061738</v>
      </c>
      <c r="N22">
        <v>-2.7920307894163501</v>
      </c>
      <c r="O22">
        <v>6.7539575400553398</v>
      </c>
      <c r="P22">
        <v>8.2918968541629994</v>
      </c>
      <c r="Q22">
        <v>3.6035622534451002</v>
      </c>
      <c r="R22">
        <v>-1.61831302466712</v>
      </c>
      <c r="S22">
        <v>11.206994644796399</v>
      </c>
      <c r="T22">
        <v>-4.3489242985594601</v>
      </c>
      <c r="U22">
        <v>10.6430384500239</v>
      </c>
      <c r="V22">
        <v>11.290738549055799</v>
      </c>
    </row>
    <row r="23" spans="1:22" x14ac:dyDescent="0.25">
      <c r="A23">
        <v>22</v>
      </c>
      <c r="B23">
        <v>1034</v>
      </c>
      <c r="C23">
        <v>1</v>
      </c>
      <c r="D23">
        <v>1</v>
      </c>
      <c r="E23">
        <v>5.4570353068367696</v>
      </c>
      <c r="F23">
        <v>-5.8326152592731697</v>
      </c>
      <c r="G23">
        <v>16.996047369786901</v>
      </c>
      <c r="H23">
        <v>6.6225881878871498</v>
      </c>
      <c r="I23">
        <v>-7.11336969213116</v>
      </c>
      <c r="J23">
        <v>9.83461461654678</v>
      </c>
      <c r="K23">
        <v>0.76303115054317805</v>
      </c>
      <c r="L23">
        <v>4.0395654232960396</v>
      </c>
      <c r="M23">
        <v>17.804825416583501</v>
      </c>
      <c r="N23">
        <v>1.48450200013005</v>
      </c>
      <c r="O23">
        <v>0.26088825513463099</v>
      </c>
      <c r="P23">
        <v>12.4658342736217</v>
      </c>
      <c r="Q23">
        <v>2.4143488314043799</v>
      </c>
      <c r="R23">
        <v>-1.80778925692695</v>
      </c>
      <c r="S23">
        <v>10.7407875620616</v>
      </c>
      <c r="T23">
        <v>0.96204479940473397</v>
      </c>
      <c r="U23">
        <v>-0.61446453368832499</v>
      </c>
      <c r="V23">
        <v>15.676227842202101</v>
      </c>
    </row>
    <row r="24" spans="1:22" x14ac:dyDescent="0.25">
      <c r="A24">
        <v>23</v>
      </c>
      <c r="B24">
        <v>1035</v>
      </c>
      <c r="C24">
        <v>1</v>
      </c>
      <c r="D24">
        <v>1</v>
      </c>
      <c r="E24">
        <v>-2.0890047818161999</v>
      </c>
      <c r="F24">
        <v>9.9283140705299395</v>
      </c>
      <c r="G24">
        <v>15.2854568032675</v>
      </c>
      <c r="H24">
        <v>8.2314310285446393</v>
      </c>
      <c r="I24">
        <v>-9.4941462797207894</v>
      </c>
      <c r="J24">
        <v>18.018728695683301</v>
      </c>
      <c r="K24">
        <v>3.2518233599957398</v>
      </c>
      <c r="L24">
        <v>-1.9199850112426</v>
      </c>
      <c r="M24">
        <v>9.4318732690834892</v>
      </c>
      <c r="N24">
        <v>-3.0429123385284398</v>
      </c>
      <c r="O24">
        <v>9.5051357921046602</v>
      </c>
      <c r="P24">
        <v>9.1976898194752401</v>
      </c>
      <c r="Q24">
        <v>2.7301855117826199</v>
      </c>
      <c r="R24">
        <v>-3.4936362683379198</v>
      </c>
      <c r="S24">
        <v>14.274312868165399</v>
      </c>
      <c r="T24">
        <v>-2.03812465924049</v>
      </c>
      <c r="U24">
        <v>4.2922350755072802</v>
      </c>
      <c r="V24">
        <v>9.3060527183699602</v>
      </c>
    </row>
    <row r="25" spans="1:22" x14ac:dyDescent="0.25">
      <c r="A25">
        <v>24</v>
      </c>
      <c r="B25">
        <v>1036</v>
      </c>
      <c r="C25">
        <v>1</v>
      </c>
      <c r="D25">
        <v>1</v>
      </c>
      <c r="E25">
        <v>-4.4466552406875302</v>
      </c>
      <c r="F25">
        <v>9.2976890892508699</v>
      </c>
      <c r="G25">
        <v>13.6759225161302</v>
      </c>
      <c r="H25">
        <v>-0.54169794530728599</v>
      </c>
      <c r="I25">
        <v>3.1422505180387801</v>
      </c>
      <c r="J25">
        <v>11.127915452407001</v>
      </c>
      <c r="K25">
        <v>1.4111128802603801</v>
      </c>
      <c r="L25">
        <v>3.4745809907260901</v>
      </c>
      <c r="M25">
        <v>7.2844927107517803</v>
      </c>
      <c r="N25">
        <v>0.24469921540210701</v>
      </c>
      <c r="O25">
        <v>3.3987840243765501</v>
      </c>
      <c r="P25">
        <v>8.1198499498440793</v>
      </c>
      <c r="Q25">
        <v>2.1450999559797501</v>
      </c>
      <c r="R25">
        <v>-0.82941221788126396</v>
      </c>
      <c r="S25">
        <v>8.5083102086176208</v>
      </c>
      <c r="T25">
        <v>-0.59182956710826096</v>
      </c>
      <c r="U25">
        <v>3.7431202953284202</v>
      </c>
      <c r="V25">
        <v>7.4712811356803996</v>
      </c>
    </row>
    <row r="26" spans="1:22" x14ac:dyDescent="0.25">
      <c r="A26">
        <v>25</v>
      </c>
      <c r="B26">
        <v>1037</v>
      </c>
      <c r="C26">
        <v>1</v>
      </c>
      <c r="D26">
        <v>1</v>
      </c>
      <c r="E26">
        <v>2.2935270466649298</v>
      </c>
      <c r="F26">
        <v>2.2438772816827801</v>
      </c>
      <c r="G26">
        <v>11.4821380285735</v>
      </c>
      <c r="H26">
        <v>-3.1434575632283202</v>
      </c>
      <c r="I26">
        <v>8.66389898439202</v>
      </c>
      <c r="J26">
        <v>24.561544465882498</v>
      </c>
      <c r="K26">
        <v>0.94243032149963402</v>
      </c>
      <c r="L26">
        <v>5.4939262222857703</v>
      </c>
      <c r="M26">
        <v>9.6382389471654903</v>
      </c>
      <c r="N26">
        <v>1.29649075569591</v>
      </c>
      <c r="O26">
        <v>3.0039983831975001</v>
      </c>
      <c r="P26">
        <v>6.99997401723562</v>
      </c>
      <c r="Q26">
        <v>1.87003035647085</v>
      </c>
      <c r="R26">
        <v>1.6246699507068501</v>
      </c>
      <c r="S26">
        <v>18.412032868269399</v>
      </c>
      <c r="T26">
        <v>2.5756075494205501</v>
      </c>
      <c r="U26">
        <v>-0.56693320065665898</v>
      </c>
      <c r="V26">
        <v>9.3055442896647609</v>
      </c>
    </row>
    <row r="27" spans="1:22" x14ac:dyDescent="0.25">
      <c r="A27">
        <v>26</v>
      </c>
      <c r="B27">
        <v>1038</v>
      </c>
      <c r="C27">
        <v>1</v>
      </c>
      <c r="D27">
        <v>1</v>
      </c>
      <c r="E27">
        <v>-0.25832390835591101</v>
      </c>
      <c r="F27">
        <v>2.7623054057714</v>
      </c>
      <c r="G27">
        <v>11.9729597242714</v>
      </c>
      <c r="H27">
        <v>1.6916461784271899</v>
      </c>
      <c r="I27">
        <v>0.111312723023478</v>
      </c>
      <c r="J27">
        <v>6.0159194103079798</v>
      </c>
      <c r="K27">
        <v>0.45896507055065999</v>
      </c>
      <c r="L27">
        <v>2.23909475200779</v>
      </c>
      <c r="M27">
        <v>12.0239243524838</v>
      </c>
      <c r="N27">
        <v>1.2502561341837199</v>
      </c>
      <c r="O27">
        <v>1.62143219060388</v>
      </c>
      <c r="P27">
        <v>7.7444998495481103</v>
      </c>
      <c r="Q27">
        <v>2.6066372071538102</v>
      </c>
      <c r="R27">
        <v>-0.81278115806176099</v>
      </c>
      <c r="S27">
        <v>6.3816008670561599</v>
      </c>
      <c r="T27">
        <v>1.12852033666285</v>
      </c>
      <c r="U27">
        <v>2.4807001644509699</v>
      </c>
      <c r="V27">
        <v>9.4040043357754097</v>
      </c>
    </row>
    <row r="28" spans="1:22" x14ac:dyDescent="0.25">
      <c r="A28">
        <v>27</v>
      </c>
      <c r="B28">
        <v>1039</v>
      </c>
      <c r="C28">
        <v>1</v>
      </c>
      <c r="D28">
        <v>1</v>
      </c>
      <c r="E28">
        <v>-0.14942902099876601</v>
      </c>
      <c r="F28">
        <v>7.6165975213081003</v>
      </c>
      <c r="G28">
        <v>13.8569148396993</v>
      </c>
      <c r="H28">
        <v>-1.6296354061046301</v>
      </c>
      <c r="I28">
        <v>5.14864664705728</v>
      </c>
      <c r="J28">
        <v>10.728890122542101</v>
      </c>
      <c r="K28">
        <v>0.22393627063048699</v>
      </c>
      <c r="L28">
        <v>7.0808054385640098</v>
      </c>
      <c r="M28">
        <v>7.5672403764086296</v>
      </c>
      <c r="N28">
        <v>-0.88715424743447002</v>
      </c>
      <c r="O28">
        <v>7.6694427413873401</v>
      </c>
      <c r="P28">
        <v>7.8935026180507899</v>
      </c>
      <c r="Q28">
        <v>-2.4242956061031999</v>
      </c>
      <c r="R28">
        <v>7.2336935184585798</v>
      </c>
      <c r="S28">
        <v>8.3639097346797406</v>
      </c>
      <c r="T28">
        <v>-0.69727677246825803</v>
      </c>
      <c r="U28">
        <v>4.9259913084719598</v>
      </c>
      <c r="V28">
        <v>7.8791753079168103</v>
      </c>
    </row>
    <row r="29" spans="1:22" x14ac:dyDescent="0.25">
      <c r="A29">
        <v>28</v>
      </c>
      <c r="B29">
        <v>1041</v>
      </c>
      <c r="C29">
        <v>1</v>
      </c>
      <c r="D29">
        <v>1</v>
      </c>
      <c r="E29">
        <v>4.2236375226354896</v>
      </c>
      <c r="F29">
        <v>-5.1893383517228999</v>
      </c>
      <c r="G29">
        <v>18.981277280324299</v>
      </c>
      <c r="H29">
        <v>9.00221808016396</v>
      </c>
      <c r="I29">
        <v>-18.465807216611001</v>
      </c>
      <c r="J29">
        <v>18.208835837439398</v>
      </c>
      <c r="K29">
        <v>-3.3048074060621202</v>
      </c>
      <c r="L29">
        <v>9.7023344872175503</v>
      </c>
      <c r="M29">
        <v>8.6407020949069899</v>
      </c>
      <c r="N29">
        <v>4.2060321644047001</v>
      </c>
      <c r="O29">
        <v>-5.1561508617582597</v>
      </c>
      <c r="P29">
        <v>12.654507599015799</v>
      </c>
      <c r="Q29">
        <v>6.6747181664879101</v>
      </c>
      <c r="R29">
        <v>-11.830850555476101</v>
      </c>
      <c r="S29">
        <v>12.680838364582399</v>
      </c>
      <c r="T29">
        <v>0.160441388881323</v>
      </c>
      <c r="U29">
        <v>0.44236672834983398</v>
      </c>
      <c r="V29">
        <v>11.1850142671684</v>
      </c>
    </row>
    <row r="30" spans="1:22" x14ac:dyDescent="0.25">
      <c r="A30">
        <v>29</v>
      </c>
      <c r="B30">
        <v>1042</v>
      </c>
      <c r="C30">
        <v>1</v>
      </c>
      <c r="D30">
        <v>1</v>
      </c>
      <c r="E30">
        <v>-1.08525927795428</v>
      </c>
      <c r="F30">
        <v>4.5110143746226399</v>
      </c>
      <c r="G30">
        <v>15.460771816126901</v>
      </c>
      <c r="H30">
        <v>1.9407107037151601</v>
      </c>
      <c r="I30">
        <v>-4.7867423322230797E-2</v>
      </c>
      <c r="J30">
        <v>12.006827430331199</v>
      </c>
      <c r="K30">
        <v>0.16197990990421701</v>
      </c>
      <c r="L30">
        <v>3.6769973967694098</v>
      </c>
      <c r="M30">
        <v>11.079105754373201</v>
      </c>
      <c r="N30">
        <v>-1.6383874335534501</v>
      </c>
      <c r="O30">
        <v>3.4627853934530202</v>
      </c>
      <c r="P30">
        <v>9.7053234294573993</v>
      </c>
      <c r="Q30">
        <v>2.85809978391746</v>
      </c>
      <c r="R30">
        <v>-5.2945167489919301E-2</v>
      </c>
      <c r="S30">
        <v>9.0295586823597294</v>
      </c>
      <c r="T30">
        <v>1.54694685115469</v>
      </c>
      <c r="U30">
        <v>-0.97584508362904898</v>
      </c>
      <c r="V30">
        <v>9.9353151293340893</v>
      </c>
    </row>
    <row r="31" spans="1:22" x14ac:dyDescent="0.25">
      <c r="A31">
        <v>30</v>
      </c>
      <c r="B31">
        <v>1045</v>
      </c>
      <c r="C31">
        <v>1</v>
      </c>
      <c r="D31">
        <v>1</v>
      </c>
      <c r="E31">
        <v>-0.57572318542434897</v>
      </c>
      <c r="F31">
        <v>1.72401740781993</v>
      </c>
      <c r="G31">
        <v>20.174658790087999</v>
      </c>
      <c r="H31">
        <v>1.09182693348096</v>
      </c>
      <c r="I31">
        <v>-0.14462404190102501</v>
      </c>
      <c r="J31">
        <v>11.8862294530271</v>
      </c>
      <c r="K31">
        <v>4.8625635065374198</v>
      </c>
      <c r="L31">
        <v>-0.40345177572054602</v>
      </c>
      <c r="M31">
        <v>11.101815653959999</v>
      </c>
      <c r="N31">
        <v>-0.72515441904693301</v>
      </c>
      <c r="O31">
        <v>2.4224250397123401</v>
      </c>
      <c r="P31">
        <v>11.461069134073499</v>
      </c>
      <c r="Q31">
        <v>1.6690488415965601</v>
      </c>
      <c r="R31">
        <v>7.9614334494702496E-2</v>
      </c>
      <c r="S31">
        <v>8.5257521752887104</v>
      </c>
      <c r="T31">
        <v>1.8515943603670699</v>
      </c>
      <c r="U31">
        <v>3.4036329789907498E-2</v>
      </c>
      <c r="V31">
        <v>11.1782330357194</v>
      </c>
    </row>
    <row r="32" spans="1:22" x14ac:dyDescent="0.25">
      <c r="A32">
        <v>31</v>
      </c>
      <c r="B32">
        <v>1047</v>
      </c>
      <c r="C32">
        <v>1</v>
      </c>
      <c r="D32">
        <v>1</v>
      </c>
      <c r="E32">
        <v>4.0142026254041898</v>
      </c>
      <c r="F32">
        <v>-2.5787964818212301</v>
      </c>
      <c r="G32">
        <v>15.550019842011899</v>
      </c>
      <c r="H32">
        <v>-14.283827548961</v>
      </c>
      <c r="I32">
        <v>29.0568063413624</v>
      </c>
      <c r="J32">
        <v>16.0119605133867</v>
      </c>
      <c r="K32">
        <v>0.43678844890347301</v>
      </c>
      <c r="L32">
        <v>5.5372981646033397</v>
      </c>
      <c r="M32">
        <v>8.1652936225574297</v>
      </c>
      <c r="N32">
        <v>-7.9038078332227493E-2</v>
      </c>
      <c r="O32">
        <v>3.0943409006893399</v>
      </c>
      <c r="P32">
        <v>7.7270317765960801</v>
      </c>
      <c r="Q32">
        <v>-9.5440141917019492</v>
      </c>
      <c r="R32">
        <v>20.591824543259001</v>
      </c>
      <c r="S32">
        <v>14.6656297212302</v>
      </c>
      <c r="T32">
        <v>0.46744947833914802</v>
      </c>
      <c r="U32">
        <v>2.6806910305576501</v>
      </c>
      <c r="V32">
        <v>7.3193561374465501</v>
      </c>
    </row>
    <row r="33" spans="1:22" x14ac:dyDescent="0.25">
      <c r="A33">
        <v>32</v>
      </c>
      <c r="B33">
        <v>1048</v>
      </c>
      <c r="C33">
        <v>1</v>
      </c>
      <c r="D33">
        <v>1</v>
      </c>
      <c r="E33">
        <v>0.93605341372012896</v>
      </c>
      <c r="F33">
        <v>2.3203133969123502</v>
      </c>
      <c r="G33">
        <v>16.123636577469799</v>
      </c>
      <c r="H33">
        <v>-0.60948225552967705</v>
      </c>
      <c r="I33">
        <v>3.2027869466424499</v>
      </c>
      <c r="J33">
        <v>18.215280257453799</v>
      </c>
      <c r="K33">
        <v>-0.48800629074173801</v>
      </c>
      <c r="L33">
        <v>5.3183943093941899</v>
      </c>
      <c r="M33">
        <v>9.0228500876058693</v>
      </c>
      <c r="N33">
        <v>2.6216196925573199</v>
      </c>
      <c r="O33">
        <v>-1.5019269258043499</v>
      </c>
      <c r="P33">
        <v>11.4670963162181</v>
      </c>
      <c r="Q33">
        <v>0.74983319783250202</v>
      </c>
      <c r="R33">
        <v>0.96828469704021003</v>
      </c>
      <c r="S33">
        <v>14.1535120606519</v>
      </c>
      <c r="T33">
        <v>-0.52392622220054696</v>
      </c>
      <c r="U33">
        <v>5.3039150566144899</v>
      </c>
      <c r="V33">
        <v>8.7603985571955096</v>
      </c>
    </row>
    <row r="34" spans="1:22" x14ac:dyDescent="0.25">
      <c r="A34">
        <v>33</v>
      </c>
      <c r="B34">
        <v>2002</v>
      </c>
      <c r="C34">
        <v>2</v>
      </c>
      <c r="D34">
        <v>2</v>
      </c>
      <c r="E34">
        <v>6.0018862625717997</v>
      </c>
      <c r="F34">
        <v>-4.4162824529327098</v>
      </c>
      <c r="G34">
        <v>21.167739699010099</v>
      </c>
      <c r="H34">
        <v>-2.8046232979721699</v>
      </c>
      <c r="I34">
        <v>10.745911130479699</v>
      </c>
      <c r="J34">
        <v>10.3806533650988</v>
      </c>
      <c r="K34">
        <v>2.0118975933424998</v>
      </c>
      <c r="L34">
        <v>2.3952373614039999</v>
      </c>
      <c r="M34">
        <v>9.0341153353265895</v>
      </c>
      <c r="N34">
        <v>3.4028813382356899</v>
      </c>
      <c r="O34">
        <v>-2.1835081527086402</v>
      </c>
      <c r="P34">
        <v>12.0790519273187</v>
      </c>
      <c r="Q34">
        <v>-2.9629613057628701</v>
      </c>
      <c r="R34">
        <v>10.919037921503699</v>
      </c>
      <c r="S34">
        <v>7.8702912021384899</v>
      </c>
      <c r="T34">
        <v>0.22190596067394799</v>
      </c>
      <c r="U34">
        <v>2.6088744858337201</v>
      </c>
      <c r="V34">
        <v>7.8820185865291101</v>
      </c>
    </row>
    <row r="35" spans="1:22" x14ac:dyDescent="0.25">
      <c r="A35">
        <v>34</v>
      </c>
      <c r="B35">
        <v>2007</v>
      </c>
      <c r="C35">
        <v>2</v>
      </c>
      <c r="D35">
        <v>2</v>
      </c>
      <c r="E35">
        <v>1.17184569763201</v>
      </c>
      <c r="F35">
        <v>-2.92370366665003</v>
      </c>
      <c r="G35">
        <v>23.494952138871302</v>
      </c>
      <c r="H35">
        <v>0.17642915099447801</v>
      </c>
      <c r="I35">
        <v>0.64835224853050999</v>
      </c>
      <c r="J35">
        <v>10.984760823586599</v>
      </c>
      <c r="K35">
        <v>2.2476275031048898</v>
      </c>
      <c r="L35">
        <v>3.0494473943617799</v>
      </c>
      <c r="M35">
        <v>8.3429750986339695</v>
      </c>
      <c r="N35">
        <v>-2.72465558350572</v>
      </c>
      <c r="O35">
        <v>4.5290284096522004</v>
      </c>
      <c r="P35">
        <v>11.9713089080249</v>
      </c>
      <c r="Q35">
        <v>5.8448918577995702E-2</v>
      </c>
      <c r="R35">
        <v>2.2014183177991402</v>
      </c>
      <c r="S35">
        <v>7.8249335328727101</v>
      </c>
      <c r="T35">
        <v>-3.07298348590394</v>
      </c>
      <c r="U35">
        <v>8.8606318204713101</v>
      </c>
      <c r="V35">
        <v>8.3143208863021805</v>
      </c>
    </row>
    <row r="36" spans="1:22" x14ac:dyDescent="0.25">
      <c r="A36">
        <v>35</v>
      </c>
      <c r="B36">
        <v>2008</v>
      </c>
      <c r="C36">
        <v>2</v>
      </c>
      <c r="D36">
        <v>2</v>
      </c>
      <c r="E36">
        <v>2.48193830909414</v>
      </c>
      <c r="F36">
        <v>6.98060287798757</v>
      </c>
      <c r="G36">
        <v>23.414114194309001</v>
      </c>
      <c r="H36">
        <v>-1.0062031379023499</v>
      </c>
      <c r="I36">
        <v>8.0107699824915404</v>
      </c>
      <c r="J36">
        <v>12.309392045292901</v>
      </c>
      <c r="K36">
        <v>-6.44271767223157</v>
      </c>
      <c r="L36">
        <v>14.5025666776893</v>
      </c>
      <c r="M36">
        <v>17.3995016943664</v>
      </c>
      <c r="N36">
        <v>-1.554781421583</v>
      </c>
      <c r="O36">
        <v>8.9389965241658498</v>
      </c>
      <c r="P36">
        <v>12.9548226499818</v>
      </c>
      <c r="Q36">
        <v>2.9363644969205902</v>
      </c>
      <c r="R36">
        <v>0.91851550550990901</v>
      </c>
      <c r="S36">
        <v>7.9536745744244204</v>
      </c>
      <c r="T36">
        <v>-1.9676516295686</v>
      </c>
      <c r="U36">
        <v>5.4316794055938002</v>
      </c>
      <c r="V36">
        <v>15.6982483509722</v>
      </c>
    </row>
    <row r="37" spans="1:22" x14ac:dyDescent="0.25">
      <c r="A37">
        <v>36</v>
      </c>
      <c r="B37">
        <v>2013</v>
      </c>
      <c r="C37">
        <v>2</v>
      </c>
      <c r="D37">
        <v>2</v>
      </c>
      <c r="E37">
        <v>-1.2911090740631701</v>
      </c>
      <c r="F37">
        <v>3.1240887002270998</v>
      </c>
      <c r="G37">
        <v>30.130832639697601</v>
      </c>
      <c r="H37">
        <v>5.4850351926753396</v>
      </c>
      <c r="I37">
        <v>-4.2967665314390802</v>
      </c>
      <c r="J37">
        <v>14.422829379664201</v>
      </c>
      <c r="K37">
        <v>-5.66533651988017</v>
      </c>
      <c r="L37">
        <v>13.8823054861037</v>
      </c>
      <c r="M37">
        <v>10.200493671134399</v>
      </c>
      <c r="N37">
        <v>1.55592018649899</v>
      </c>
      <c r="O37">
        <v>-2.0967299910299801</v>
      </c>
      <c r="P37">
        <v>17.475968402621199</v>
      </c>
      <c r="Q37">
        <v>1.7945904317730501</v>
      </c>
      <c r="R37">
        <v>0.54766676244882395</v>
      </c>
      <c r="S37">
        <v>10.337244310399401</v>
      </c>
      <c r="T37">
        <v>-4.8795434097034098</v>
      </c>
      <c r="U37">
        <v>10.8965607570568</v>
      </c>
      <c r="V37">
        <v>8.8437769920592295</v>
      </c>
    </row>
    <row r="38" spans="1:22" x14ac:dyDescent="0.25">
      <c r="A38">
        <v>37</v>
      </c>
      <c r="B38">
        <v>2015</v>
      </c>
      <c r="C38">
        <v>2</v>
      </c>
      <c r="D38">
        <v>2</v>
      </c>
      <c r="E38">
        <v>0.80225852316477297</v>
      </c>
      <c r="F38">
        <v>3.1740892358612398</v>
      </c>
      <c r="G38">
        <v>24.748839954492102</v>
      </c>
      <c r="H38">
        <v>-0.44096847848051102</v>
      </c>
      <c r="I38">
        <v>5.7822273416090697</v>
      </c>
      <c r="J38">
        <v>11.515239709042801</v>
      </c>
      <c r="K38">
        <v>-7.3650547060629599</v>
      </c>
      <c r="L38">
        <v>17.430389601685501</v>
      </c>
      <c r="M38">
        <v>15.1354957777419</v>
      </c>
      <c r="N38">
        <v>-1.5749117591000199</v>
      </c>
      <c r="O38">
        <v>3.9559508824798701</v>
      </c>
      <c r="P38">
        <v>15.8688690443803</v>
      </c>
      <c r="Q38">
        <v>-2.3947738825878702</v>
      </c>
      <c r="R38">
        <v>6.4115434908498896</v>
      </c>
      <c r="S38">
        <v>8.3415177835293903</v>
      </c>
      <c r="T38">
        <v>-2.5140314389888698</v>
      </c>
      <c r="U38">
        <v>10.877559164627501</v>
      </c>
      <c r="V38">
        <v>10.042304554989601</v>
      </c>
    </row>
    <row r="39" spans="1:22" x14ac:dyDescent="0.25">
      <c r="A39">
        <v>38</v>
      </c>
      <c r="B39">
        <v>2017</v>
      </c>
      <c r="C39">
        <v>2</v>
      </c>
      <c r="D39">
        <v>2</v>
      </c>
      <c r="E39">
        <v>-1.16114617816179</v>
      </c>
      <c r="F39">
        <v>7.7208315427669696</v>
      </c>
      <c r="G39">
        <v>14.3679490219012</v>
      </c>
      <c r="H39">
        <v>-1.9247132483118301</v>
      </c>
      <c r="I39">
        <v>3.7017246385206399</v>
      </c>
      <c r="J39">
        <v>19.5151121436393</v>
      </c>
      <c r="K39">
        <v>8.4503666976423109</v>
      </c>
      <c r="L39">
        <v>-7.4674104174952296</v>
      </c>
      <c r="M39">
        <v>14.6439571424729</v>
      </c>
      <c r="N39">
        <v>-1.3774930147347499</v>
      </c>
      <c r="O39">
        <v>5.6856664826708698</v>
      </c>
      <c r="P39">
        <v>7.8037169403718902</v>
      </c>
      <c r="Q39">
        <v>0.364901180579981</v>
      </c>
      <c r="R39">
        <v>-2.0586645490840798</v>
      </c>
      <c r="S39">
        <v>17.360335690629199</v>
      </c>
      <c r="T39">
        <v>6.7386922730094696</v>
      </c>
      <c r="U39">
        <v>-6.4366546749269702</v>
      </c>
      <c r="V39">
        <v>12.40323753278</v>
      </c>
    </row>
    <row r="40" spans="1:22" x14ac:dyDescent="0.25">
      <c r="A40">
        <v>39</v>
      </c>
      <c r="B40">
        <v>2020</v>
      </c>
      <c r="C40">
        <v>2</v>
      </c>
      <c r="D40">
        <v>2</v>
      </c>
      <c r="E40">
        <v>0.53094060863651504</v>
      </c>
      <c r="F40">
        <v>3.3501881118796599</v>
      </c>
      <c r="G40">
        <v>15.1756262457594</v>
      </c>
      <c r="H40">
        <v>-1.6391921464537</v>
      </c>
      <c r="I40">
        <v>4.0317228753521297</v>
      </c>
      <c r="J40">
        <v>8.4598484001131897</v>
      </c>
      <c r="K40">
        <v>2.0259840737161099</v>
      </c>
      <c r="L40">
        <v>-0.88116590188247801</v>
      </c>
      <c r="M40">
        <v>7.9991810191375796</v>
      </c>
      <c r="N40">
        <v>0.85336434664902505</v>
      </c>
      <c r="O40">
        <v>2.6188459471085102</v>
      </c>
      <c r="P40">
        <v>8.0193228024634902</v>
      </c>
      <c r="Q40">
        <v>0.53755817124766703</v>
      </c>
      <c r="R40">
        <v>0.27292001266865701</v>
      </c>
      <c r="S40">
        <v>7.5527202730285801</v>
      </c>
      <c r="T40">
        <v>1.1453730475116599</v>
      </c>
      <c r="U40">
        <v>0.12946085918386799</v>
      </c>
      <c r="V40">
        <v>7.7567602352922496</v>
      </c>
    </row>
    <row r="41" spans="1:22" x14ac:dyDescent="0.25">
      <c r="A41">
        <v>40</v>
      </c>
      <c r="B41">
        <v>2021</v>
      </c>
      <c r="C41">
        <v>2</v>
      </c>
      <c r="D41">
        <v>2</v>
      </c>
      <c r="E41">
        <v>8.6561382407414804</v>
      </c>
      <c r="F41">
        <v>-0.21139556113409699</v>
      </c>
      <c r="G41">
        <v>17.790779646941299</v>
      </c>
      <c r="H41">
        <v>-4.1101119321847301</v>
      </c>
      <c r="I41">
        <v>10.6648259567254</v>
      </c>
      <c r="J41">
        <v>6.6401826569396603</v>
      </c>
      <c r="K41">
        <v>5.2061722678599799E-2</v>
      </c>
      <c r="L41">
        <v>4.0280806670593599</v>
      </c>
      <c r="M41">
        <v>14.910470895472701</v>
      </c>
      <c r="N41">
        <v>-0.97795951938261705</v>
      </c>
      <c r="O41">
        <v>6.2388668089393198</v>
      </c>
      <c r="P41">
        <v>10.514098583278001</v>
      </c>
      <c r="Q41">
        <v>-1.4603858333906801</v>
      </c>
      <c r="R41">
        <v>6.0644841334233401</v>
      </c>
      <c r="S41">
        <v>5.75296414522166</v>
      </c>
      <c r="T41">
        <v>0.91416369058219504</v>
      </c>
      <c r="U41">
        <v>1.57151758301843</v>
      </c>
      <c r="V41">
        <v>11.812567195948899</v>
      </c>
    </row>
    <row r="42" spans="1:22" x14ac:dyDescent="0.25">
      <c r="A42">
        <v>41</v>
      </c>
      <c r="B42">
        <v>2022</v>
      </c>
      <c r="C42">
        <v>2</v>
      </c>
      <c r="D42">
        <v>2</v>
      </c>
      <c r="E42">
        <v>5.5357668046509803</v>
      </c>
      <c r="F42">
        <v>-0.67403355286838096</v>
      </c>
      <c r="G42">
        <v>23.945249127393598</v>
      </c>
      <c r="H42">
        <v>-2.7579261571662599</v>
      </c>
      <c r="I42">
        <v>8.4972822543224495</v>
      </c>
      <c r="J42">
        <v>14.214715590200701</v>
      </c>
      <c r="K42">
        <v>2.2999060410769201</v>
      </c>
      <c r="L42">
        <v>4.3554746533886997</v>
      </c>
      <c r="M42">
        <v>8.0905347777437804</v>
      </c>
      <c r="N42">
        <v>-1.59351966186565</v>
      </c>
      <c r="O42">
        <v>4.7563438281961696</v>
      </c>
      <c r="P42">
        <v>13.335020063678799</v>
      </c>
      <c r="Q42">
        <v>-3.2099176144228201</v>
      </c>
      <c r="R42">
        <v>6.8678784570712397</v>
      </c>
      <c r="S42">
        <v>11.158152207307101</v>
      </c>
      <c r="T42">
        <v>2.4259679640880401</v>
      </c>
      <c r="U42">
        <v>0.32940925126062098</v>
      </c>
      <c r="V42">
        <v>8.6801445918588804</v>
      </c>
    </row>
    <row r="43" spans="1:22" x14ac:dyDescent="0.25">
      <c r="A43">
        <v>42</v>
      </c>
      <c r="B43">
        <v>2023</v>
      </c>
      <c r="C43">
        <v>2</v>
      </c>
      <c r="D43">
        <v>2</v>
      </c>
      <c r="E43">
        <v>4.8562069203335998</v>
      </c>
      <c r="F43">
        <v>-6.1536064317662102</v>
      </c>
      <c r="G43">
        <v>18.322852121924999</v>
      </c>
      <c r="H43">
        <v>-0.58039365121588704</v>
      </c>
      <c r="I43">
        <v>3.7603429643791402</v>
      </c>
      <c r="J43">
        <v>10.9665613969535</v>
      </c>
      <c r="K43">
        <v>1.9378952327596</v>
      </c>
      <c r="L43">
        <v>2.3314198410204501</v>
      </c>
      <c r="M43">
        <v>10.549939138888501</v>
      </c>
      <c r="N43">
        <v>1.97695460993693</v>
      </c>
      <c r="O43">
        <v>-0.940020137563223</v>
      </c>
      <c r="P43">
        <v>10.1011031061292</v>
      </c>
      <c r="Q43">
        <v>1.20609476817844</v>
      </c>
      <c r="R43">
        <v>-0.86997241843948103</v>
      </c>
      <c r="S43">
        <v>8.9797592736421397</v>
      </c>
      <c r="T43">
        <v>0.29139265689501098</v>
      </c>
      <c r="U43">
        <v>2.7125569898921502</v>
      </c>
      <c r="V43">
        <v>10.1331537851647</v>
      </c>
    </row>
    <row r="44" spans="1:22" x14ac:dyDescent="0.25">
      <c r="A44">
        <v>43</v>
      </c>
      <c r="B44">
        <v>2025</v>
      </c>
      <c r="C44">
        <v>2</v>
      </c>
      <c r="D44">
        <v>2</v>
      </c>
      <c r="E44">
        <v>-7.0499575835133799</v>
      </c>
      <c r="F44">
        <v>20.397790690981498</v>
      </c>
      <c r="G44">
        <v>19.991196655982101</v>
      </c>
      <c r="H44">
        <v>-0.103888008743849</v>
      </c>
      <c r="I44">
        <v>5.9965162663118301</v>
      </c>
      <c r="J44">
        <v>9.8347296176494901</v>
      </c>
      <c r="K44">
        <v>-4.8256403704448996</v>
      </c>
      <c r="L44">
        <v>12.9866620282751</v>
      </c>
      <c r="M44">
        <v>14.8453785755786</v>
      </c>
      <c r="N44">
        <v>-5.5109313923433998</v>
      </c>
      <c r="O44">
        <v>15.088765855773801</v>
      </c>
      <c r="P44">
        <v>11.3425038759133</v>
      </c>
      <c r="Q44">
        <v>-0.50355273798876099</v>
      </c>
      <c r="R44">
        <v>4.0475489478727296</v>
      </c>
      <c r="S44">
        <v>9.0253239753035697</v>
      </c>
      <c r="T44">
        <v>-2.2703761943485099</v>
      </c>
      <c r="U44">
        <v>7.7540535635046197</v>
      </c>
      <c r="V44">
        <v>10.6142529093873</v>
      </c>
    </row>
    <row r="45" spans="1:22" x14ac:dyDescent="0.25">
      <c r="A45">
        <v>44</v>
      </c>
      <c r="B45">
        <v>2026</v>
      </c>
      <c r="C45">
        <v>2</v>
      </c>
      <c r="D45">
        <v>2</v>
      </c>
      <c r="E45">
        <v>-6.05971025370006</v>
      </c>
      <c r="F45">
        <v>22.790581203825901</v>
      </c>
      <c r="G45">
        <v>15.918856697540001</v>
      </c>
      <c r="H45">
        <v>-1.0085228099305099</v>
      </c>
      <c r="I45">
        <v>9.5400424518923792</v>
      </c>
      <c r="J45">
        <v>10.9057479017424</v>
      </c>
      <c r="K45">
        <v>1.1085126461864301</v>
      </c>
      <c r="L45">
        <v>6.93010905821476</v>
      </c>
      <c r="M45">
        <v>11.4624616292752</v>
      </c>
      <c r="N45">
        <v>-6.0708640596703196</v>
      </c>
      <c r="O45">
        <v>15.2700440489147</v>
      </c>
      <c r="P45">
        <v>8.3618190082342707</v>
      </c>
      <c r="Q45">
        <v>-2.0992607947039601</v>
      </c>
      <c r="R45">
        <v>6.9122063198004096</v>
      </c>
      <c r="S45">
        <v>9.0861516038612695</v>
      </c>
      <c r="T45">
        <v>0.79724229065871399</v>
      </c>
      <c r="U45">
        <v>4.3736710213596197</v>
      </c>
      <c r="V45">
        <v>8.6576708884646703</v>
      </c>
    </row>
    <row r="46" spans="1:22" x14ac:dyDescent="0.25">
      <c r="A46">
        <v>45</v>
      </c>
      <c r="B46">
        <v>2027</v>
      </c>
      <c r="C46">
        <v>2</v>
      </c>
      <c r="D46">
        <v>2</v>
      </c>
      <c r="E46">
        <v>-9.5234061545128998</v>
      </c>
      <c r="F46">
        <v>28.297903372956501</v>
      </c>
      <c r="G46">
        <v>19.038001168666401</v>
      </c>
      <c r="H46">
        <v>0.241234526525237</v>
      </c>
      <c r="I46">
        <v>4.9666101501290596</v>
      </c>
      <c r="J46">
        <v>15.859910599848501</v>
      </c>
      <c r="K46">
        <v>-0.19084245534872499</v>
      </c>
      <c r="L46">
        <v>10.350673566616599</v>
      </c>
      <c r="M46">
        <v>7.3953092851090201</v>
      </c>
      <c r="N46">
        <v>-5.0895525049755097</v>
      </c>
      <c r="O46">
        <v>11.9392205485735</v>
      </c>
      <c r="P46">
        <v>9.3122734726334393</v>
      </c>
      <c r="Q46">
        <v>0.57902929514690504</v>
      </c>
      <c r="R46">
        <v>2.1351013535499699</v>
      </c>
      <c r="S46">
        <v>11.8517697600641</v>
      </c>
      <c r="T46">
        <v>-1.2707204200884601</v>
      </c>
      <c r="U46">
        <v>8.6791372183461508</v>
      </c>
      <c r="V46">
        <v>8.1182292759889005</v>
      </c>
    </row>
    <row r="47" spans="1:22" x14ac:dyDescent="0.25">
      <c r="A47">
        <v>46</v>
      </c>
      <c r="B47">
        <v>2033</v>
      </c>
      <c r="C47">
        <v>2</v>
      </c>
      <c r="D47">
        <v>2</v>
      </c>
      <c r="E47">
        <v>2.34996387947167</v>
      </c>
      <c r="F47">
        <v>0.365566847398552</v>
      </c>
      <c r="G47">
        <v>19.851464436652201</v>
      </c>
      <c r="H47">
        <v>4.9303528779277102</v>
      </c>
      <c r="I47">
        <v>-4.9340094316760501</v>
      </c>
      <c r="J47">
        <v>19.5934333122831</v>
      </c>
      <c r="K47">
        <v>2.5921769274098398</v>
      </c>
      <c r="L47">
        <v>1.4777556953516</v>
      </c>
      <c r="M47">
        <v>11.316081779777999</v>
      </c>
      <c r="N47">
        <v>-0.78515639062800402</v>
      </c>
      <c r="O47">
        <v>5.0494626853926601</v>
      </c>
      <c r="P47">
        <v>10.555096073346601</v>
      </c>
      <c r="Q47">
        <v>1.2008370869049501</v>
      </c>
      <c r="R47">
        <v>-0.24736152123576999</v>
      </c>
      <c r="S47">
        <v>15.221210390246499</v>
      </c>
      <c r="T47">
        <v>1.77690522107481</v>
      </c>
      <c r="U47">
        <v>0.96842372507683405</v>
      </c>
      <c r="V47">
        <v>10.965599318602001</v>
      </c>
    </row>
    <row r="48" spans="1:22" x14ac:dyDescent="0.25">
      <c r="A48">
        <v>47</v>
      </c>
      <c r="B48">
        <v>2034</v>
      </c>
      <c r="C48">
        <v>2</v>
      </c>
      <c r="D48">
        <v>2</v>
      </c>
      <c r="E48">
        <v>-8.2830479749671202</v>
      </c>
      <c r="F48">
        <v>20.9949103826354</v>
      </c>
      <c r="G48">
        <v>25.744328772967101</v>
      </c>
      <c r="H48">
        <v>4.2516661075939401</v>
      </c>
      <c r="I48">
        <v>-4.3914445516471599</v>
      </c>
      <c r="J48">
        <v>18.2289517176042</v>
      </c>
      <c r="K48">
        <v>-4.9465004743399401</v>
      </c>
      <c r="L48">
        <v>15.187446247910099</v>
      </c>
      <c r="M48">
        <v>12.121967870862299</v>
      </c>
      <c r="N48">
        <v>-5.20529703346687</v>
      </c>
      <c r="O48">
        <v>12.5609207132495</v>
      </c>
      <c r="P48">
        <v>11.4038029445764</v>
      </c>
      <c r="Q48">
        <v>1.27791188192747</v>
      </c>
      <c r="R48">
        <v>-4.3354863871437999E-2</v>
      </c>
      <c r="S48">
        <v>10.439736184606099</v>
      </c>
      <c r="T48">
        <v>0.28431840977273398</v>
      </c>
      <c r="U48">
        <v>4.4859208754377198</v>
      </c>
      <c r="V48">
        <v>10.6793977776949</v>
      </c>
    </row>
    <row r="49" spans="1:22" x14ac:dyDescent="0.25">
      <c r="A49">
        <v>48</v>
      </c>
      <c r="B49">
        <v>2037</v>
      </c>
      <c r="C49">
        <v>2</v>
      </c>
      <c r="D49">
        <v>2</v>
      </c>
      <c r="E49">
        <v>4.9691379416883397</v>
      </c>
      <c r="F49">
        <v>-4.5824241283171698</v>
      </c>
      <c r="G49">
        <v>17.3494392598095</v>
      </c>
      <c r="H49">
        <v>6.6771391864166603</v>
      </c>
      <c r="I49">
        <v>-2.8066227933715902</v>
      </c>
      <c r="J49">
        <v>11.4783137240742</v>
      </c>
      <c r="K49">
        <v>3.5969015781110598</v>
      </c>
      <c r="L49">
        <v>-2.62746776628767</v>
      </c>
      <c r="M49">
        <v>13.5841974096413</v>
      </c>
      <c r="N49">
        <v>2.65443674091145</v>
      </c>
      <c r="O49">
        <v>-1.6300309596437501</v>
      </c>
      <c r="P49">
        <v>9.3284970144312904</v>
      </c>
      <c r="Q49">
        <v>3.3401431637605299</v>
      </c>
      <c r="R49">
        <v>-0.205376792760502</v>
      </c>
      <c r="S49">
        <v>10.5827681056098</v>
      </c>
      <c r="T49">
        <v>0.74881380967724998</v>
      </c>
      <c r="U49">
        <v>2.81326870673246</v>
      </c>
      <c r="V49">
        <v>10.3920186158538</v>
      </c>
    </row>
    <row r="50" spans="1:22" x14ac:dyDescent="0.25">
      <c r="A50">
        <v>49</v>
      </c>
      <c r="B50">
        <v>2038</v>
      </c>
      <c r="C50">
        <v>2</v>
      </c>
      <c r="D50">
        <v>2</v>
      </c>
      <c r="E50">
        <v>-1.82166227002475</v>
      </c>
      <c r="F50">
        <v>6.06524508259524</v>
      </c>
      <c r="G50">
        <v>22.2884210192612</v>
      </c>
      <c r="H50">
        <v>-2.23407318318894</v>
      </c>
      <c r="I50">
        <v>9.9237916009513398</v>
      </c>
      <c r="J50">
        <v>11.6776831643871</v>
      </c>
      <c r="K50">
        <v>-2.25036493577278</v>
      </c>
      <c r="L50">
        <v>6.1704126312526002</v>
      </c>
      <c r="M50">
        <v>14.320238399937001</v>
      </c>
      <c r="N50">
        <v>3.25917348451499</v>
      </c>
      <c r="O50">
        <v>-1.55210724472881</v>
      </c>
      <c r="P50">
        <v>12.2655344168755</v>
      </c>
      <c r="Q50">
        <v>-0.27778763278882102</v>
      </c>
      <c r="R50">
        <v>5.65839504880684</v>
      </c>
      <c r="S50">
        <v>8.1827017557570692</v>
      </c>
      <c r="T50">
        <v>-1.38466011366318</v>
      </c>
      <c r="U50">
        <v>5.85668491984078</v>
      </c>
      <c r="V50">
        <v>10.1291946636448</v>
      </c>
    </row>
    <row r="51" spans="1:22" x14ac:dyDescent="0.25">
      <c r="A51">
        <v>50</v>
      </c>
      <c r="B51">
        <v>2039</v>
      </c>
      <c r="C51">
        <v>2</v>
      </c>
      <c r="D51">
        <v>2</v>
      </c>
      <c r="E51">
        <v>-0.21202986097170601</v>
      </c>
      <c r="F51">
        <v>9.6407870693152002</v>
      </c>
      <c r="G51">
        <v>20.205668679944299</v>
      </c>
      <c r="H51">
        <v>3.9659823654640101</v>
      </c>
      <c r="I51">
        <v>3.7333156556809102</v>
      </c>
      <c r="J51">
        <v>8.7297824215097695</v>
      </c>
      <c r="K51">
        <v>-0.54911860868050899</v>
      </c>
      <c r="L51">
        <v>9.5035332187238701</v>
      </c>
      <c r="M51">
        <v>14.1362332781086</v>
      </c>
      <c r="N51">
        <v>3.79166513077951</v>
      </c>
      <c r="O51">
        <v>0.75243127639685103</v>
      </c>
      <c r="P51">
        <v>12.664317689834601</v>
      </c>
      <c r="Q51">
        <v>2.6017475616708698</v>
      </c>
      <c r="R51">
        <v>1.87090485438334</v>
      </c>
      <c r="S51">
        <v>7.58613590840665</v>
      </c>
      <c r="T51">
        <v>-0.198121600338836</v>
      </c>
      <c r="U51">
        <v>5.8534857351682303</v>
      </c>
      <c r="V51">
        <v>12.6421183469794</v>
      </c>
    </row>
    <row r="52" spans="1:22" x14ac:dyDescent="0.25">
      <c r="A52">
        <v>51</v>
      </c>
      <c r="B52">
        <v>2042</v>
      </c>
      <c r="C52">
        <v>2</v>
      </c>
      <c r="D52">
        <v>2</v>
      </c>
      <c r="E52">
        <v>8.6113328919648904</v>
      </c>
      <c r="F52">
        <v>-12.154534113960199</v>
      </c>
      <c r="G52">
        <v>26.373981573477302</v>
      </c>
      <c r="H52">
        <v>2.5337003246394398</v>
      </c>
      <c r="I52">
        <v>0.98015323310024205</v>
      </c>
      <c r="J52">
        <v>18.383352669222401</v>
      </c>
      <c r="K52">
        <v>-1.9976322422506001</v>
      </c>
      <c r="L52">
        <v>6.9530529468900397</v>
      </c>
      <c r="M52">
        <v>9.0371042694156092</v>
      </c>
      <c r="N52">
        <v>6.6458376052984596</v>
      </c>
      <c r="O52">
        <v>-8.1989998976602507</v>
      </c>
      <c r="P52">
        <v>15.6556927903064</v>
      </c>
      <c r="Q52">
        <v>1.6355704922163901</v>
      </c>
      <c r="R52">
        <v>2.5247138223816701</v>
      </c>
      <c r="S52">
        <v>11.391753344719101</v>
      </c>
      <c r="T52">
        <v>0.52196411046807401</v>
      </c>
      <c r="U52">
        <v>2.0359638882269202</v>
      </c>
      <c r="V52">
        <v>8.6291170619459798</v>
      </c>
    </row>
    <row r="53" spans="1:22" x14ac:dyDescent="0.25">
      <c r="A53">
        <v>52</v>
      </c>
      <c r="B53">
        <v>2052</v>
      </c>
      <c r="C53">
        <v>2</v>
      </c>
      <c r="D53">
        <v>2</v>
      </c>
      <c r="E53">
        <v>0.86986807484893303</v>
      </c>
      <c r="F53">
        <v>2.4358225766639401</v>
      </c>
      <c r="G53">
        <v>19.2306350181189</v>
      </c>
      <c r="H53">
        <v>7.3341887346351102</v>
      </c>
      <c r="I53">
        <v>-6.1085138778695303</v>
      </c>
      <c r="J53">
        <v>15.644244278411</v>
      </c>
      <c r="K53">
        <v>-0.51144987476924197</v>
      </c>
      <c r="L53">
        <v>4.1231782434759801</v>
      </c>
      <c r="M53">
        <v>13.080092406182199</v>
      </c>
      <c r="N53">
        <v>1.47200535507928</v>
      </c>
      <c r="O53">
        <v>1.21176225010533</v>
      </c>
      <c r="P53">
        <v>9.3772684084013704</v>
      </c>
      <c r="Q53">
        <v>2.91008501670699</v>
      </c>
      <c r="R53">
        <v>-1.49948378554707</v>
      </c>
      <c r="S53">
        <v>12.2512253248136</v>
      </c>
      <c r="T53">
        <v>-2.4506205764017901</v>
      </c>
      <c r="U53">
        <v>6.51995829238159</v>
      </c>
      <c r="V53">
        <v>10.796669213207901</v>
      </c>
    </row>
    <row r="54" spans="1:22" x14ac:dyDescent="0.25">
      <c r="A54">
        <v>53</v>
      </c>
      <c r="B54">
        <v>2059</v>
      </c>
      <c r="C54">
        <v>2</v>
      </c>
      <c r="D54">
        <v>2</v>
      </c>
      <c r="E54">
        <v>13.749133213797601</v>
      </c>
      <c r="F54">
        <v>-22.789577883798799</v>
      </c>
      <c r="G54">
        <v>32.0999341170821</v>
      </c>
      <c r="H54">
        <v>1.5985076373536999</v>
      </c>
      <c r="I54">
        <v>-1.63121760931133</v>
      </c>
      <c r="J54">
        <v>7.9791193517663999</v>
      </c>
      <c r="K54">
        <v>0.72421612692000903</v>
      </c>
      <c r="L54">
        <v>3.7819096672677599</v>
      </c>
      <c r="M54">
        <v>14.563416638007601</v>
      </c>
      <c r="N54">
        <v>9.5744053549518497</v>
      </c>
      <c r="O54">
        <v>-17.516936947241099</v>
      </c>
      <c r="P54">
        <v>22.609711789916702</v>
      </c>
      <c r="Q54">
        <v>2.1425969516344701</v>
      </c>
      <c r="R54">
        <v>-2.8241597814091302</v>
      </c>
      <c r="S54">
        <v>8.1884867341925691</v>
      </c>
      <c r="T54">
        <v>2.2936152944202099</v>
      </c>
      <c r="U54">
        <v>-1.33086248460792</v>
      </c>
      <c r="V54">
        <v>13.0689295167855</v>
      </c>
    </row>
    <row r="55" spans="1:22" x14ac:dyDescent="0.25">
      <c r="A55">
        <v>54</v>
      </c>
      <c r="B55">
        <v>2062</v>
      </c>
      <c r="C55">
        <v>2</v>
      </c>
      <c r="D55">
        <v>2</v>
      </c>
      <c r="E55">
        <v>8.5310460950916305</v>
      </c>
      <c r="F55">
        <v>-10.199320968551699</v>
      </c>
      <c r="G55">
        <v>33.186802596661103</v>
      </c>
      <c r="H55">
        <v>0.14511469648570699</v>
      </c>
      <c r="I55">
        <v>2.56608547037475</v>
      </c>
      <c r="J55">
        <v>13.0871212375882</v>
      </c>
      <c r="K55">
        <v>2.72553778326979</v>
      </c>
      <c r="L55">
        <v>-0.133963125644186</v>
      </c>
      <c r="M55">
        <v>22.8989947787482</v>
      </c>
      <c r="N55">
        <v>0.33087487904035001</v>
      </c>
      <c r="O55">
        <v>-0.49060225011183201</v>
      </c>
      <c r="P55">
        <v>18.3305655534027</v>
      </c>
      <c r="Q55">
        <v>-1.29587226557345</v>
      </c>
      <c r="R55">
        <v>3.9956531861348998</v>
      </c>
      <c r="S55">
        <v>10.336739694740499</v>
      </c>
      <c r="T55">
        <v>0.55632202222698501</v>
      </c>
      <c r="U55">
        <v>1.7980318574334</v>
      </c>
      <c r="V55">
        <v>15.724507644069</v>
      </c>
    </row>
    <row r="56" spans="1:22" x14ac:dyDescent="0.25">
      <c r="A56">
        <v>55</v>
      </c>
      <c r="B56">
        <v>2082</v>
      </c>
      <c r="C56">
        <v>2</v>
      </c>
      <c r="D56">
        <v>2</v>
      </c>
      <c r="E56">
        <v>-43.171763178719097</v>
      </c>
      <c r="F56">
        <v>80.457597830431197</v>
      </c>
      <c r="G56">
        <v>25.4682885707665</v>
      </c>
      <c r="H56">
        <v>-58.400813925786601</v>
      </c>
      <c r="I56">
        <v>106.942355595066</v>
      </c>
      <c r="J56">
        <v>9.0007040144084804</v>
      </c>
      <c r="K56">
        <v>-77.383446378920596</v>
      </c>
      <c r="L56">
        <v>137.75805474601</v>
      </c>
      <c r="M56">
        <v>13.1253257616162</v>
      </c>
      <c r="N56">
        <v>-30.022322595857801</v>
      </c>
      <c r="O56">
        <v>54.004327568290698</v>
      </c>
      <c r="P56">
        <v>17.2716269115998</v>
      </c>
      <c r="Q56">
        <v>-42.984246962570502</v>
      </c>
      <c r="R56">
        <v>77.657134564070802</v>
      </c>
      <c r="S56">
        <v>8.6791421173471601</v>
      </c>
      <c r="T56">
        <v>-83.503035745684102</v>
      </c>
      <c r="U56">
        <v>147.70242272111301</v>
      </c>
      <c r="V56">
        <v>8.2827961291619907</v>
      </c>
    </row>
    <row r="57" spans="1:22" x14ac:dyDescent="0.25">
      <c r="A57">
        <v>56</v>
      </c>
      <c r="B57">
        <v>2090</v>
      </c>
      <c r="C57">
        <v>2</v>
      </c>
      <c r="D57">
        <v>2</v>
      </c>
      <c r="E57">
        <v>-12.3410541475172</v>
      </c>
      <c r="F57">
        <v>25.222966048107999</v>
      </c>
      <c r="G57">
        <v>31.001281463412401</v>
      </c>
      <c r="H57">
        <v>-3.7154480278103201</v>
      </c>
      <c r="I57">
        <v>17.467256822768199</v>
      </c>
      <c r="J57">
        <v>8.3848748303540699</v>
      </c>
      <c r="K57">
        <v>1.31545699016833</v>
      </c>
      <c r="L57">
        <v>6.37793385842612</v>
      </c>
      <c r="M57">
        <v>18.108695269511902</v>
      </c>
      <c r="N57">
        <v>-8.3364456918415204</v>
      </c>
      <c r="O57">
        <v>20.635517453247399</v>
      </c>
      <c r="P57">
        <v>21.467797310877302</v>
      </c>
      <c r="Q57">
        <v>0.73817291875422497</v>
      </c>
      <c r="R57">
        <v>6.1638886447392398</v>
      </c>
      <c r="S57">
        <v>7.4553597928897899</v>
      </c>
      <c r="T57">
        <v>4.9642800875723596</v>
      </c>
      <c r="U57">
        <v>9.9595606346648199E-2</v>
      </c>
      <c r="V57">
        <v>12.694999529703001</v>
      </c>
    </row>
    <row r="58" spans="1:22" x14ac:dyDescent="0.25">
      <c r="A58">
        <v>57</v>
      </c>
      <c r="B58">
        <v>2095</v>
      </c>
      <c r="C58">
        <v>2</v>
      </c>
      <c r="D58">
        <v>2</v>
      </c>
      <c r="E58">
        <v>-2.7522820118534601</v>
      </c>
      <c r="F58">
        <v>9.2588386774678799</v>
      </c>
      <c r="G58">
        <v>29.6581618786667</v>
      </c>
      <c r="H58">
        <v>-7.6057946680013702</v>
      </c>
      <c r="I58">
        <v>20.393278853773001</v>
      </c>
      <c r="J58">
        <v>10.190270012190799</v>
      </c>
      <c r="K58">
        <v>-3.9217834266454399</v>
      </c>
      <c r="L58">
        <v>12.6495658288553</v>
      </c>
      <c r="M58">
        <v>15.2475653148596</v>
      </c>
      <c r="N58">
        <v>-3.8307651533939699</v>
      </c>
      <c r="O58">
        <v>13.495678711435399</v>
      </c>
      <c r="P58">
        <v>12.3800932194259</v>
      </c>
      <c r="Q58">
        <v>1.3013963454314399</v>
      </c>
      <c r="R58">
        <v>1.65639074170319</v>
      </c>
      <c r="S58">
        <v>10.290376058705199</v>
      </c>
      <c r="T58">
        <v>0.35622719027226002</v>
      </c>
      <c r="U58">
        <v>0.33341543082625802</v>
      </c>
      <c r="V58">
        <v>15.130812536880899</v>
      </c>
    </row>
    <row r="59" spans="1:22" x14ac:dyDescent="0.25">
      <c r="A59">
        <v>58</v>
      </c>
      <c r="B59">
        <v>2111</v>
      </c>
      <c r="C59">
        <v>2</v>
      </c>
      <c r="D59">
        <v>2</v>
      </c>
      <c r="E59">
        <v>-4.8803226774877002</v>
      </c>
      <c r="F59">
        <v>7.6632215914431701</v>
      </c>
      <c r="G59">
        <v>31.791764013997099</v>
      </c>
      <c r="H59">
        <v>-11.030415616131499</v>
      </c>
      <c r="I59">
        <v>19.899277341220198</v>
      </c>
      <c r="J59">
        <v>13.921445696384501</v>
      </c>
      <c r="K59">
        <v>3.9840404100145301</v>
      </c>
      <c r="L59">
        <v>-2.68011245178737</v>
      </c>
      <c r="M59">
        <v>22.2124385045277</v>
      </c>
      <c r="N59">
        <v>-4.8819840722311003</v>
      </c>
      <c r="O59">
        <v>6.7219147381283104</v>
      </c>
      <c r="P59">
        <v>21.109565358626298</v>
      </c>
      <c r="Q59">
        <v>-3.7972812424156701</v>
      </c>
      <c r="R59">
        <v>6.5881762281111902</v>
      </c>
      <c r="S59">
        <v>13.9782694918344</v>
      </c>
      <c r="T59">
        <v>-1.3011927202086699</v>
      </c>
      <c r="U59">
        <v>4.2784752934009704</v>
      </c>
      <c r="V59">
        <v>16.745192453388299</v>
      </c>
    </row>
    <row r="60" spans="1:22" x14ac:dyDescent="0.25">
      <c r="A60">
        <v>59</v>
      </c>
      <c r="B60">
        <v>2117</v>
      </c>
      <c r="C60">
        <v>2</v>
      </c>
      <c r="D60">
        <v>2</v>
      </c>
      <c r="E60">
        <v>-4.7984720609910996</v>
      </c>
      <c r="F60">
        <v>14.164498358765</v>
      </c>
      <c r="G60">
        <v>25.406335360915602</v>
      </c>
      <c r="H60">
        <v>-1.8519087960212</v>
      </c>
      <c r="I60">
        <v>5.2987755302238604</v>
      </c>
      <c r="J60">
        <v>11.588485295369701</v>
      </c>
      <c r="K60">
        <v>2.8321670251070099</v>
      </c>
      <c r="L60">
        <v>-1.3196650234841001</v>
      </c>
      <c r="M60">
        <v>16.9977990868002</v>
      </c>
      <c r="N60">
        <v>1.10332044774927</v>
      </c>
      <c r="O60">
        <v>5.0337828941568201</v>
      </c>
      <c r="P60">
        <v>14.053178089107901</v>
      </c>
      <c r="Q60">
        <v>-1.54165015329836</v>
      </c>
      <c r="R60">
        <v>6.5903439276006903</v>
      </c>
      <c r="S60">
        <v>8.1976064011560705</v>
      </c>
      <c r="T60">
        <v>-1.8279636945981399</v>
      </c>
      <c r="U60">
        <v>5.1578532020836798</v>
      </c>
      <c r="V60">
        <v>11.287929709862899</v>
      </c>
    </row>
    <row r="61" spans="1:22" x14ac:dyDescent="0.25">
      <c r="A61">
        <v>60</v>
      </c>
      <c r="B61">
        <v>3029</v>
      </c>
      <c r="C61">
        <v>3</v>
      </c>
      <c r="D61">
        <v>2</v>
      </c>
      <c r="E61">
        <v>-1.8867390869318199</v>
      </c>
      <c r="F61">
        <v>13.526082042460001</v>
      </c>
      <c r="G61">
        <v>24.3071527758696</v>
      </c>
      <c r="H61">
        <v>-5.6031665257830197</v>
      </c>
      <c r="I61">
        <v>18.9626902898883</v>
      </c>
      <c r="J61">
        <v>8.0908248622182501</v>
      </c>
      <c r="K61">
        <v>-4.6968580349301101</v>
      </c>
      <c r="L61">
        <v>18.1572439587882</v>
      </c>
      <c r="M61">
        <v>11.771484758644</v>
      </c>
      <c r="N61">
        <v>-4.0514432016817903</v>
      </c>
      <c r="O61">
        <v>12.7935551870205</v>
      </c>
      <c r="P61">
        <v>16.814260226288699</v>
      </c>
      <c r="Q61">
        <v>-4.3211829194220801</v>
      </c>
      <c r="R61">
        <v>14.5308488396042</v>
      </c>
      <c r="S61">
        <v>6.5802676461644598</v>
      </c>
      <c r="T61">
        <v>-0.61108606671691801</v>
      </c>
      <c r="U61">
        <v>5.5747825696329798</v>
      </c>
      <c r="V61">
        <v>14.8626477072764</v>
      </c>
    </row>
    <row r="62" spans="1:22" x14ac:dyDescent="0.25">
      <c r="A62">
        <v>61</v>
      </c>
      <c r="B62">
        <v>3034</v>
      </c>
      <c r="C62">
        <v>3</v>
      </c>
      <c r="D62">
        <v>2</v>
      </c>
      <c r="E62">
        <v>0.20550490046478401</v>
      </c>
      <c r="F62">
        <v>3.67353350896764</v>
      </c>
      <c r="G62">
        <v>27.802180506798599</v>
      </c>
      <c r="H62">
        <v>-3.7760524487222802</v>
      </c>
      <c r="I62">
        <v>13.791732752328199</v>
      </c>
      <c r="J62">
        <v>11.329513496151201</v>
      </c>
      <c r="K62">
        <v>-7.2284048089596498</v>
      </c>
      <c r="L62">
        <v>18.9506721102791</v>
      </c>
      <c r="M62">
        <v>13.656758649051801</v>
      </c>
      <c r="N62">
        <v>-0.72658134971055999</v>
      </c>
      <c r="O62">
        <v>4.55139458024495</v>
      </c>
      <c r="P62">
        <v>17.2154100888134</v>
      </c>
      <c r="Q62">
        <v>0.94759103860452798</v>
      </c>
      <c r="R62">
        <v>3.8539641307501999</v>
      </c>
      <c r="S62">
        <v>8.9180722642673693</v>
      </c>
      <c r="T62">
        <v>-4.3001395839081296</v>
      </c>
      <c r="U62">
        <v>11.2754039665591</v>
      </c>
      <c r="V62">
        <v>12.150642100380701</v>
      </c>
    </row>
    <row r="63" spans="1:22" x14ac:dyDescent="0.25">
      <c r="A63">
        <v>62</v>
      </c>
      <c r="B63">
        <v>3039</v>
      </c>
      <c r="C63">
        <v>3</v>
      </c>
      <c r="D63">
        <v>2</v>
      </c>
      <c r="E63">
        <v>-4.5466657609947498</v>
      </c>
      <c r="F63">
        <v>11.7342045913555</v>
      </c>
      <c r="G63">
        <v>21.689846296073998</v>
      </c>
      <c r="H63">
        <v>-6.1831276731040896</v>
      </c>
      <c r="I63">
        <v>11.652705877626699</v>
      </c>
      <c r="J63">
        <v>10.072392953385</v>
      </c>
      <c r="K63">
        <v>0.351428347144215</v>
      </c>
      <c r="L63">
        <v>3.0131529117208098</v>
      </c>
      <c r="M63">
        <v>15.3082310703694</v>
      </c>
      <c r="N63">
        <v>-2.51419763654562</v>
      </c>
      <c r="O63">
        <v>7.0795940478475599</v>
      </c>
      <c r="P63">
        <v>13.2925394303454</v>
      </c>
      <c r="Q63">
        <v>-0.96230961793089598</v>
      </c>
      <c r="R63">
        <v>2.5847056529774601</v>
      </c>
      <c r="S63">
        <v>10.015874972341701</v>
      </c>
      <c r="T63">
        <v>-1.5027232514876401</v>
      </c>
      <c r="U63">
        <v>7.0952910114499597</v>
      </c>
      <c r="V63">
        <v>10.8867042124424</v>
      </c>
    </row>
    <row r="64" spans="1:22" x14ac:dyDescent="0.25">
      <c r="A64">
        <v>63</v>
      </c>
      <c r="B64">
        <v>3053</v>
      </c>
      <c r="C64">
        <v>3</v>
      </c>
      <c r="D64">
        <v>2</v>
      </c>
      <c r="E64">
        <v>11.353850883964</v>
      </c>
      <c r="F64">
        <v>-19.507861961547601</v>
      </c>
      <c r="G64">
        <v>39.1453458902742</v>
      </c>
      <c r="H64">
        <v>-1.09949481349636</v>
      </c>
      <c r="I64">
        <v>2.6795511691306202</v>
      </c>
      <c r="J64">
        <v>7.2047330666352103</v>
      </c>
      <c r="K64">
        <v>9.4786436986976794E-2</v>
      </c>
      <c r="L64">
        <v>-4.6345875621148496</v>
      </c>
      <c r="M64">
        <v>29.602071239905101</v>
      </c>
      <c r="N64">
        <v>7.6481401412635899</v>
      </c>
      <c r="O64">
        <v>-13.712894508995699</v>
      </c>
      <c r="P64">
        <v>26.734650188851099</v>
      </c>
      <c r="Q64">
        <v>-1.7944546805807799</v>
      </c>
      <c r="R64">
        <v>4.9523235669149699</v>
      </c>
      <c r="S64">
        <v>6.0684938292845603</v>
      </c>
      <c r="T64">
        <v>0.62472587524276701</v>
      </c>
      <c r="U64">
        <v>-0.11983306404060901</v>
      </c>
      <c r="V64">
        <v>20.938845501419099</v>
      </c>
    </row>
    <row r="65" spans="1:22" x14ac:dyDescent="0.25">
      <c r="A65">
        <v>64</v>
      </c>
      <c r="B65">
        <v>3063</v>
      </c>
      <c r="C65">
        <v>3</v>
      </c>
      <c r="D65">
        <v>2</v>
      </c>
      <c r="E65">
        <v>-3.4731087519617398</v>
      </c>
      <c r="F65">
        <v>4.0564656710587998</v>
      </c>
      <c r="G65">
        <v>30.908210069971101</v>
      </c>
      <c r="H65">
        <v>4.73939413125344</v>
      </c>
      <c r="I65">
        <v>-3.9126932840584798</v>
      </c>
      <c r="J65">
        <v>8.8671339157364102</v>
      </c>
      <c r="K65">
        <v>5.3525729456040398</v>
      </c>
      <c r="L65">
        <v>-3.1464734643429302</v>
      </c>
      <c r="M65">
        <v>19.1133767755055</v>
      </c>
      <c r="N65">
        <v>-4.1275771660485097</v>
      </c>
      <c r="O65">
        <v>6.6105380793574602</v>
      </c>
      <c r="P65">
        <v>18.0331469232089</v>
      </c>
      <c r="Q65">
        <v>3.7055521248268799</v>
      </c>
      <c r="R65">
        <v>0.68429762730405796</v>
      </c>
      <c r="S65">
        <v>7.2193217703345702</v>
      </c>
      <c r="T65">
        <v>2.8671552178181798</v>
      </c>
      <c r="U65">
        <v>-0.64518818788584098</v>
      </c>
      <c r="V65">
        <v>14.998245469152</v>
      </c>
    </row>
    <row r="66" spans="1:22" x14ac:dyDescent="0.25">
      <c r="A66">
        <v>65</v>
      </c>
      <c r="B66">
        <v>3072</v>
      </c>
      <c r="C66">
        <v>3</v>
      </c>
      <c r="D66">
        <v>2</v>
      </c>
      <c r="E66">
        <v>6.5990089768838703E-2</v>
      </c>
      <c r="F66">
        <v>5.8460252543217699</v>
      </c>
      <c r="G66">
        <v>29.314375996043101</v>
      </c>
      <c r="H66">
        <v>-11.7677598881584</v>
      </c>
      <c r="I66">
        <v>24.147005719976502</v>
      </c>
      <c r="J66">
        <v>8.3362441674751206</v>
      </c>
      <c r="K66">
        <v>-0.34550176380604197</v>
      </c>
      <c r="L66">
        <v>4.1687647343852499</v>
      </c>
      <c r="M66">
        <v>23.6927459438932</v>
      </c>
      <c r="N66">
        <v>-2.8042623965537201</v>
      </c>
      <c r="O66">
        <v>8.9483755976163408</v>
      </c>
      <c r="P66">
        <v>19.4458320986544</v>
      </c>
      <c r="Q66">
        <v>-11.7779216491179</v>
      </c>
      <c r="R66">
        <v>22.916763452184298</v>
      </c>
      <c r="S66">
        <v>8.3699658676737396</v>
      </c>
      <c r="T66">
        <v>-0.738528144266824</v>
      </c>
      <c r="U66">
        <v>7.0428178336312097</v>
      </c>
      <c r="V66">
        <v>17.1453325963972</v>
      </c>
    </row>
    <row r="67" spans="1:22" x14ac:dyDescent="0.25">
      <c r="A67">
        <v>66</v>
      </c>
      <c r="B67">
        <v>3077</v>
      </c>
      <c r="C67">
        <v>3</v>
      </c>
      <c r="D67">
        <v>2</v>
      </c>
      <c r="E67">
        <v>2.6646488257303802</v>
      </c>
      <c r="F67">
        <v>-5.80175729601567</v>
      </c>
      <c r="G67">
        <v>39.672641032103797</v>
      </c>
      <c r="H67">
        <v>-10.135384386264199</v>
      </c>
      <c r="I67">
        <v>22.904840178239901</v>
      </c>
      <c r="J67">
        <v>7.9312091280738999</v>
      </c>
      <c r="K67">
        <v>1.16134450708962</v>
      </c>
      <c r="L67">
        <v>1.6271489776746799</v>
      </c>
      <c r="M67">
        <v>21.213892326181998</v>
      </c>
      <c r="N67">
        <v>-1.5753274354109701</v>
      </c>
      <c r="O67">
        <v>3.1408421229518799</v>
      </c>
      <c r="P67">
        <v>23.753844083333501</v>
      </c>
      <c r="Q67">
        <v>-7.4749256651472002</v>
      </c>
      <c r="R67">
        <v>15.7580044474334</v>
      </c>
      <c r="S67">
        <v>10.0697988439357</v>
      </c>
      <c r="T67">
        <v>2.0623531880951802</v>
      </c>
      <c r="U67">
        <v>0.74907538515854499</v>
      </c>
      <c r="V67">
        <v>18.544164142337099</v>
      </c>
    </row>
    <row r="68" spans="1:22" x14ac:dyDescent="0.25">
      <c r="A68">
        <v>67</v>
      </c>
      <c r="B68">
        <v>3103</v>
      </c>
      <c r="C68">
        <v>3</v>
      </c>
      <c r="D68">
        <v>2</v>
      </c>
      <c r="E68">
        <v>-8.5746625830624499</v>
      </c>
      <c r="F68">
        <v>19.477311796449499</v>
      </c>
      <c r="G68">
        <v>27.420172151053801</v>
      </c>
      <c r="H68">
        <v>11.789494918290099</v>
      </c>
      <c r="I68">
        <v>-23.304748793432399</v>
      </c>
      <c r="J68">
        <v>23.6375349136229</v>
      </c>
      <c r="K68">
        <v>-0.624086020337</v>
      </c>
      <c r="L68">
        <v>4.0664397650214097</v>
      </c>
      <c r="M68">
        <v>21.645834152106499</v>
      </c>
      <c r="N68">
        <v>-2.4291740699031501</v>
      </c>
      <c r="O68">
        <v>5.5205989867312804</v>
      </c>
      <c r="P68">
        <v>18.9974664910089</v>
      </c>
      <c r="Q68">
        <v>10.1333037533363</v>
      </c>
      <c r="R68">
        <v>-19.154152100422898</v>
      </c>
      <c r="S68">
        <v>18.763261095862202</v>
      </c>
      <c r="T68">
        <v>3.5442846527462502</v>
      </c>
      <c r="U68">
        <v>-1.3681417783974199</v>
      </c>
      <c r="V68">
        <v>16.362386748428499</v>
      </c>
    </row>
    <row r="69" spans="1:22" x14ac:dyDescent="0.25">
      <c r="A69">
        <v>68</v>
      </c>
      <c r="B69">
        <v>3107</v>
      </c>
      <c r="C69">
        <v>3</v>
      </c>
      <c r="D69">
        <v>2</v>
      </c>
      <c r="E69">
        <v>-3.4812230484540998</v>
      </c>
      <c r="F69">
        <v>15.0822538839098</v>
      </c>
      <c r="G69">
        <v>27.406922997601601</v>
      </c>
      <c r="H69">
        <v>-0.87301425500039098</v>
      </c>
      <c r="I69">
        <v>8.9500126780040894</v>
      </c>
      <c r="J69">
        <v>8.9504419198043692</v>
      </c>
      <c r="K69">
        <v>-5.7314467103540103</v>
      </c>
      <c r="L69">
        <v>13.5898065930388</v>
      </c>
      <c r="M69">
        <v>19.613776914873799</v>
      </c>
      <c r="N69">
        <v>1.4882136623356499</v>
      </c>
      <c r="O69">
        <v>2.7586283633864301</v>
      </c>
      <c r="P69">
        <v>14.928461258452</v>
      </c>
      <c r="Q69">
        <v>-0.50683354511511602</v>
      </c>
      <c r="R69">
        <v>5.6610522132199899</v>
      </c>
      <c r="S69">
        <v>7.6022236589313303</v>
      </c>
      <c r="T69">
        <v>-4.0258738522349304</v>
      </c>
      <c r="U69">
        <v>10.0441804677964</v>
      </c>
      <c r="V69">
        <v>13.799651236650799</v>
      </c>
    </row>
    <row r="70" spans="1:22" x14ac:dyDescent="0.25">
      <c r="A70">
        <v>69</v>
      </c>
      <c r="B70">
        <v>3006</v>
      </c>
      <c r="C70">
        <v>3</v>
      </c>
      <c r="D70">
        <v>2</v>
      </c>
      <c r="E70">
        <v>5.4057458233375399</v>
      </c>
      <c r="F70">
        <v>-5.6777426992888298</v>
      </c>
      <c r="G70">
        <v>36.178596901121097</v>
      </c>
      <c r="H70">
        <v>-3.4491985425100902</v>
      </c>
      <c r="I70">
        <v>10.3305455828273</v>
      </c>
      <c r="J70">
        <v>12.345551278014099</v>
      </c>
      <c r="K70">
        <v>-8.0422780632314605</v>
      </c>
      <c r="L70">
        <v>14.964056153241099</v>
      </c>
      <c r="M70">
        <v>27.684025516837401</v>
      </c>
      <c r="N70">
        <v>2.0072595644212399</v>
      </c>
      <c r="O70">
        <v>2.0408582717177</v>
      </c>
      <c r="P70">
        <v>25.060914550032301</v>
      </c>
      <c r="Q70">
        <v>-0.58439873751902005</v>
      </c>
      <c r="R70">
        <v>3.8954746515760199</v>
      </c>
      <c r="S70">
        <v>9.3573000988610104</v>
      </c>
      <c r="T70">
        <v>-4.9095199270306802</v>
      </c>
      <c r="U70">
        <v>15.329438171454999</v>
      </c>
      <c r="V70">
        <v>15.5239995203529</v>
      </c>
    </row>
    <row r="71" spans="1:22" x14ac:dyDescent="0.25">
      <c r="A71">
        <v>70</v>
      </c>
      <c r="B71">
        <v>3007</v>
      </c>
      <c r="C71">
        <v>3</v>
      </c>
      <c r="D71">
        <v>2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20</v>
      </c>
      <c r="P71" t="s">
        <v>20</v>
      </c>
      <c r="Q71" t="s">
        <v>20</v>
      </c>
      <c r="R71" t="s">
        <v>20</v>
      </c>
      <c r="S71" t="s">
        <v>20</v>
      </c>
      <c r="T71" t="s">
        <v>20</v>
      </c>
      <c r="U71" t="s">
        <v>20</v>
      </c>
      <c r="V71" t="s">
        <v>20</v>
      </c>
    </row>
    <row r="72" spans="1:22" x14ac:dyDescent="0.25">
      <c r="A72">
        <v>71</v>
      </c>
      <c r="B72">
        <v>3008</v>
      </c>
      <c r="C72">
        <v>3</v>
      </c>
      <c r="D72">
        <v>2</v>
      </c>
      <c r="E72">
        <v>-3.0556249009795202</v>
      </c>
      <c r="F72">
        <v>13.5754927849827</v>
      </c>
      <c r="G72">
        <v>21.994953343651598</v>
      </c>
      <c r="H72">
        <v>1.96485808074359</v>
      </c>
      <c r="I72">
        <v>2.3561327468212498</v>
      </c>
      <c r="J72">
        <v>8.8032492199431704</v>
      </c>
      <c r="K72">
        <v>0.85777507636669503</v>
      </c>
      <c r="L72">
        <v>5.5370503744294401</v>
      </c>
      <c r="M72">
        <v>9.2206435710522907</v>
      </c>
      <c r="N72">
        <v>3.3992901256455301</v>
      </c>
      <c r="O72">
        <v>-1.46338481204356</v>
      </c>
      <c r="P72">
        <v>12.723224654544101</v>
      </c>
      <c r="Q72">
        <v>0.10834289269582401</v>
      </c>
      <c r="R72">
        <v>2.7002694666731202</v>
      </c>
      <c r="S72">
        <v>7.1299137936702897</v>
      </c>
      <c r="T72">
        <v>0.65325172927283204</v>
      </c>
      <c r="U72">
        <v>4.7060794778505102</v>
      </c>
      <c r="V72">
        <v>8.1181031032652005</v>
      </c>
    </row>
    <row r="73" spans="1:22" x14ac:dyDescent="0.25">
      <c r="A73">
        <v>72</v>
      </c>
      <c r="B73">
        <v>3010</v>
      </c>
      <c r="C73">
        <v>3</v>
      </c>
      <c r="D73">
        <v>2</v>
      </c>
      <c r="E73">
        <v>-3.8471793974948398</v>
      </c>
      <c r="F73">
        <v>8.5146995199654203</v>
      </c>
      <c r="G73">
        <v>35.304967413206299</v>
      </c>
      <c r="H73">
        <v>0.14921996225321499</v>
      </c>
      <c r="I73">
        <v>5.3362442620766899</v>
      </c>
      <c r="J73">
        <v>10.2451402161826</v>
      </c>
      <c r="K73">
        <v>-2.1952576605891601</v>
      </c>
      <c r="L73">
        <v>8.1070358093889308</v>
      </c>
      <c r="M73">
        <v>21.578247759510401</v>
      </c>
      <c r="N73">
        <v>2.7776942578931498</v>
      </c>
      <c r="O73">
        <v>-2.175848967091</v>
      </c>
      <c r="P73">
        <v>24.923287513265802</v>
      </c>
      <c r="Q73">
        <v>1.79466606631061</v>
      </c>
      <c r="R73">
        <v>0.81557079296194401</v>
      </c>
      <c r="S73">
        <v>6.55221241274179</v>
      </c>
      <c r="T73">
        <v>4.1468742411319601</v>
      </c>
      <c r="U73">
        <v>-0.72635978593589601</v>
      </c>
      <c r="V73">
        <v>18.194699927483899</v>
      </c>
    </row>
    <row r="74" spans="1:22" x14ac:dyDescent="0.25">
      <c r="A74">
        <v>73</v>
      </c>
      <c r="B74">
        <v>3021</v>
      </c>
      <c r="C74">
        <v>3</v>
      </c>
      <c r="D74">
        <v>2</v>
      </c>
      <c r="E74">
        <v>0.91349563560513503</v>
      </c>
      <c r="F74">
        <v>-2.5414162645813598</v>
      </c>
      <c r="G74">
        <v>32.586730435605403</v>
      </c>
      <c r="H74">
        <v>-4.0895787418033098</v>
      </c>
      <c r="I74">
        <v>11.587328488582701</v>
      </c>
      <c r="J74">
        <v>11.2776297562158</v>
      </c>
      <c r="K74">
        <v>-5.0320926322222901</v>
      </c>
      <c r="L74">
        <v>12.672460075781901</v>
      </c>
      <c r="M74">
        <v>14.079508220871199</v>
      </c>
      <c r="N74">
        <v>-0.51084159197380197</v>
      </c>
      <c r="O74">
        <v>0.73029569710446995</v>
      </c>
      <c r="P74">
        <v>21.737948627214799</v>
      </c>
      <c r="Q74">
        <v>-4.5905443740632803</v>
      </c>
      <c r="R74">
        <v>10.4706199805337</v>
      </c>
      <c r="S74">
        <v>8.6557579357587198</v>
      </c>
      <c r="T74">
        <v>-3.64815042963887</v>
      </c>
      <c r="U74">
        <v>10.8419342830998</v>
      </c>
      <c r="V74">
        <v>11.4079625542965</v>
      </c>
    </row>
    <row r="75" spans="1:22" x14ac:dyDescent="0.25">
      <c r="A75">
        <v>74</v>
      </c>
      <c r="B75">
        <v>3026</v>
      </c>
      <c r="C75">
        <v>3</v>
      </c>
      <c r="D75">
        <v>2</v>
      </c>
      <c r="E75">
        <v>-5.5027354911952804</v>
      </c>
      <c r="F75">
        <v>9.9530488490485496</v>
      </c>
      <c r="G75">
        <v>31.342556024730399</v>
      </c>
      <c r="H75">
        <v>-1.3316734893567801</v>
      </c>
      <c r="I75">
        <v>5.6767667388192002</v>
      </c>
      <c r="J75">
        <v>11.4149373510845</v>
      </c>
      <c r="K75">
        <v>4.5069504962808198</v>
      </c>
      <c r="L75">
        <v>-1.0251239037356901</v>
      </c>
      <c r="M75">
        <v>16.194688774880301</v>
      </c>
      <c r="N75">
        <v>-5.41223112254848</v>
      </c>
      <c r="O75">
        <v>8.3248865514416703</v>
      </c>
      <c r="P75">
        <v>20.261125868145399</v>
      </c>
      <c r="Q75">
        <v>-3.84576001437383</v>
      </c>
      <c r="R75">
        <v>9.2343549782043208</v>
      </c>
      <c r="S75">
        <v>9.2062217212311399</v>
      </c>
      <c r="T75">
        <v>1.2675305920362401</v>
      </c>
      <c r="U75">
        <v>2.4423728500065698</v>
      </c>
      <c r="V75">
        <v>14.1153655863545</v>
      </c>
    </row>
    <row r="76" spans="1:22" x14ac:dyDescent="0.25">
      <c r="A76">
        <v>75</v>
      </c>
      <c r="B76">
        <v>3030</v>
      </c>
      <c r="C76">
        <v>3</v>
      </c>
      <c r="D76">
        <v>2</v>
      </c>
      <c r="E76">
        <v>13.298987077739</v>
      </c>
      <c r="F76">
        <v>-10.7274547142637</v>
      </c>
      <c r="G76">
        <v>27.210366259275599</v>
      </c>
      <c r="H76">
        <v>4.7397701367637497</v>
      </c>
      <c r="I76">
        <v>-4.13775431849253E-2</v>
      </c>
      <c r="J76">
        <v>5.0748414889796596</v>
      </c>
      <c r="K76">
        <v>4.9744415697673796</v>
      </c>
      <c r="L76">
        <v>-3.6844989372491201</v>
      </c>
      <c r="M76">
        <v>25.4353033144912</v>
      </c>
      <c r="N76">
        <v>9.9110411574895192</v>
      </c>
      <c r="O76">
        <v>-7.0672005265342799</v>
      </c>
      <c r="P76">
        <v>15.6416735581896</v>
      </c>
      <c r="Q76">
        <v>4.7240051027809304</v>
      </c>
      <c r="R76">
        <v>0.32146197381713798</v>
      </c>
      <c r="S76">
        <v>7.6274676300245003</v>
      </c>
      <c r="T76">
        <v>0.56925087351669501</v>
      </c>
      <c r="U76">
        <v>6.5878201363464699</v>
      </c>
      <c r="V76">
        <v>13.336862013399699</v>
      </c>
    </row>
    <row r="77" spans="1:22" x14ac:dyDescent="0.25">
      <c r="A77">
        <v>76</v>
      </c>
      <c r="B77">
        <v>3036</v>
      </c>
      <c r="C77">
        <v>3</v>
      </c>
      <c r="D77">
        <v>2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20</v>
      </c>
      <c r="P77" t="s">
        <v>20</v>
      </c>
      <c r="Q77" t="s">
        <v>20</v>
      </c>
      <c r="R77" t="s">
        <v>20</v>
      </c>
      <c r="S77" t="s">
        <v>20</v>
      </c>
      <c r="T77" t="s">
        <v>20</v>
      </c>
      <c r="U77" t="s">
        <v>20</v>
      </c>
      <c r="V77" t="s">
        <v>20</v>
      </c>
    </row>
    <row r="78" spans="1:22" x14ac:dyDescent="0.25">
      <c r="A78">
        <v>77</v>
      </c>
      <c r="B78">
        <v>3040</v>
      </c>
      <c r="C78">
        <v>3</v>
      </c>
      <c r="D78">
        <v>2</v>
      </c>
      <c r="E78">
        <v>-5.0247782826233101</v>
      </c>
      <c r="F78">
        <v>12.560142187708101</v>
      </c>
      <c r="G78">
        <v>19.220123490580502</v>
      </c>
      <c r="H78">
        <v>-2.6991864668249401</v>
      </c>
      <c r="I78">
        <v>7.0091851930412803</v>
      </c>
      <c r="J78">
        <v>14.0846092973207</v>
      </c>
      <c r="K78">
        <v>-3.80970824770045</v>
      </c>
      <c r="L78">
        <v>11.918518002674199</v>
      </c>
      <c r="M78">
        <v>16.634459249663099</v>
      </c>
      <c r="N78">
        <v>0.49392608384037101</v>
      </c>
      <c r="O78">
        <v>0.41426448833244001</v>
      </c>
      <c r="P78">
        <v>12.383734463044</v>
      </c>
      <c r="Q78">
        <v>-1.9410738620193</v>
      </c>
      <c r="R78">
        <v>3.86509591145126</v>
      </c>
      <c r="S78">
        <v>10.5133178489657</v>
      </c>
      <c r="T78">
        <v>2.6887021661475501</v>
      </c>
      <c r="U78">
        <v>2.4203296949387698</v>
      </c>
      <c r="V78">
        <v>12.504661466518201</v>
      </c>
    </row>
    <row r="79" spans="1:22" x14ac:dyDescent="0.25">
      <c r="A79">
        <v>78</v>
      </c>
      <c r="B79">
        <v>3041</v>
      </c>
      <c r="C79">
        <v>3</v>
      </c>
      <c r="D79">
        <v>2</v>
      </c>
      <c r="E79">
        <v>2.1160949554911901</v>
      </c>
      <c r="F79">
        <v>3.94215167901968</v>
      </c>
      <c r="G79">
        <v>28.024921141611198</v>
      </c>
      <c r="H79">
        <v>0.41652003508073998</v>
      </c>
      <c r="I79">
        <v>3.8501569527298898</v>
      </c>
      <c r="J79">
        <v>10.288643145090001</v>
      </c>
      <c r="K79">
        <v>6.0497968196790302</v>
      </c>
      <c r="L79">
        <v>-8.6695292858503397</v>
      </c>
      <c r="M79">
        <v>27.470338934365799</v>
      </c>
      <c r="N79">
        <v>0.76353588845925002</v>
      </c>
      <c r="O79">
        <v>7.8780670247256399</v>
      </c>
      <c r="P79">
        <v>12.7046025781504</v>
      </c>
      <c r="Q79">
        <v>2.92671530334166</v>
      </c>
      <c r="R79">
        <v>8.7595917939182505E-2</v>
      </c>
      <c r="S79">
        <v>7.1189208649651903</v>
      </c>
      <c r="T79">
        <v>2.8234398940714001</v>
      </c>
      <c r="U79">
        <v>1.7380101788139899</v>
      </c>
      <c r="V79">
        <v>17.756030788847202</v>
      </c>
    </row>
    <row r="80" spans="1:22" x14ac:dyDescent="0.25">
      <c r="A80">
        <v>79</v>
      </c>
      <c r="B80">
        <v>3043</v>
      </c>
      <c r="C80">
        <v>3</v>
      </c>
      <c r="D80">
        <v>2</v>
      </c>
      <c r="E80">
        <v>-0.90118393522241003</v>
      </c>
      <c r="F80">
        <v>3.75085322799143</v>
      </c>
      <c r="G80">
        <v>25.949730229830202</v>
      </c>
      <c r="H80">
        <v>2.4101492336395198</v>
      </c>
      <c r="I80">
        <v>-1.1837360335914999</v>
      </c>
      <c r="J80">
        <v>10.2673263332653</v>
      </c>
      <c r="K80">
        <v>2.5471224673887298</v>
      </c>
      <c r="L80">
        <v>1.65352724013615</v>
      </c>
      <c r="M80">
        <v>15.2311568121135</v>
      </c>
      <c r="N80">
        <v>2.2308395875769</v>
      </c>
      <c r="O80">
        <v>-0.94012524319203805</v>
      </c>
      <c r="P80">
        <v>14.034837190877401</v>
      </c>
      <c r="Q80">
        <v>1.48924410555154</v>
      </c>
      <c r="R80">
        <v>-1.11029191352583</v>
      </c>
      <c r="S80">
        <v>8.1704533260910797</v>
      </c>
      <c r="T80">
        <v>-2.54967059240585</v>
      </c>
      <c r="U80">
        <v>7.9356897173381604</v>
      </c>
      <c r="V80">
        <v>11.8588843782294</v>
      </c>
    </row>
    <row r="81" spans="1:22" x14ac:dyDescent="0.25">
      <c r="A81">
        <v>80</v>
      </c>
      <c r="B81">
        <v>3054</v>
      </c>
      <c r="C81">
        <v>3</v>
      </c>
      <c r="D81">
        <v>2</v>
      </c>
      <c r="E81">
        <v>6.3942965460814696</v>
      </c>
      <c r="F81">
        <v>-5.7811534634584998</v>
      </c>
      <c r="G81">
        <v>25.219826252723401</v>
      </c>
      <c r="H81">
        <v>-1.9897785114194</v>
      </c>
      <c r="I81">
        <v>5.1229769031416703</v>
      </c>
      <c r="J81">
        <v>15.6827064767121</v>
      </c>
      <c r="K81">
        <v>0.35432428859463799</v>
      </c>
      <c r="L81">
        <v>1.6430254864443801</v>
      </c>
      <c r="M81">
        <v>21.218194309304401</v>
      </c>
      <c r="N81">
        <v>-0.49946158612986002</v>
      </c>
      <c r="O81">
        <v>2.0136505003926399</v>
      </c>
      <c r="P81">
        <v>15.792932530843</v>
      </c>
      <c r="Q81">
        <v>-1.6350127727809101</v>
      </c>
      <c r="R81">
        <v>5.9477125731865899</v>
      </c>
      <c r="S81">
        <v>11.0357711864203</v>
      </c>
      <c r="T81">
        <v>-5.7673261603923303</v>
      </c>
      <c r="U81">
        <v>11.720575419776001</v>
      </c>
      <c r="V81">
        <v>16.255440193321402</v>
      </c>
    </row>
    <row r="82" spans="1:22" x14ac:dyDescent="0.25">
      <c r="A82">
        <v>81</v>
      </c>
      <c r="B82">
        <v>3055</v>
      </c>
      <c r="C82">
        <v>3</v>
      </c>
      <c r="D82">
        <v>2</v>
      </c>
      <c r="E82">
        <v>-0.210390909580351</v>
      </c>
      <c r="F82">
        <v>4.7212672314847604</v>
      </c>
      <c r="G82">
        <v>26.871659192754301</v>
      </c>
      <c r="H82">
        <v>-1.3343558697630999</v>
      </c>
      <c r="I82">
        <v>3.5517563112258101</v>
      </c>
      <c r="J82">
        <v>9.1059183183632904</v>
      </c>
      <c r="K82">
        <v>1.7005111962202899</v>
      </c>
      <c r="L82">
        <v>-2.2188236660729301</v>
      </c>
      <c r="M82">
        <v>22.0440455697603</v>
      </c>
      <c r="N82">
        <v>2.1022368888051699</v>
      </c>
      <c r="O82">
        <v>1.8426012995865899</v>
      </c>
      <c r="P82">
        <v>13.1394913818267</v>
      </c>
      <c r="Q82">
        <v>-0.86036854930830098</v>
      </c>
      <c r="R82">
        <v>4.22267065184794</v>
      </c>
      <c r="S82">
        <v>6.2204034455113302</v>
      </c>
      <c r="T82">
        <v>-0.43748070429282998</v>
      </c>
      <c r="U82">
        <v>1.9933995673432201</v>
      </c>
      <c r="V82">
        <v>14.2906273244239</v>
      </c>
    </row>
    <row r="83" spans="1:22" x14ac:dyDescent="0.25">
      <c r="A83">
        <v>82</v>
      </c>
      <c r="B83">
        <v>3058</v>
      </c>
      <c r="C83">
        <v>3</v>
      </c>
      <c r="D83">
        <v>2</v>
      </c>
      <c r="E83">
        <v>9.5019872841843895</v>
      </c>
      <c r="F83">
        <v>-10.319547035047201</v>
      </c>
      <c r="G83">
        <v>25.859031545077201</v>
      </c>
      <c r="H83">
        <v>-3.1463603394739601</v>
      </c>
      <c r="I83">
        <v>6.6816299326016004</v>
      </c>
      <c r="J83">
        <v>7.4601494340106598</v>
      </c>
      <c r="K83">
        <v>4.26173377144453</v>
      </c>
      <c r="L83">
        <v>-2.41011546357185</v>
      </c>
      <c r="M83">
        <v>21.623125576246998</v>
      </c>
      <c r="N83">
        <v>11.133809527802701</v>
      </c>
      <c r="O83">
        <v>-15.607075400627901</v>
      </c>
      <c r="P83">
        <v>21.991063102975801</v>
      </c>
      <c r="Q83">
        <v>-3.13214956454854</v>
      </c>
      <c r="R83">
        <v>6.61118221568415</v>
      </c>
      <c r="S83">
        <v>8.1640239175078992</v>
      </c>
      <c r="T83">
        <v>1.4486257555056199</v>
      </c>
      <c r="U83">
        <v>-0.28225027001388803</v>
      </c>
      <c r="V83">
        <v>19.092629180183099</v>
      </c>
    </row>
    <row r="84" spans="1:22" x14ac:dyDescent="0.25">
      <c r="A84">
        <v>83</v>
      </c>
      <c r="B84">
        <v>3059</v>
      </c>
      <c r="C84">
        <v>3</v>
      </c>
      <c r="D84">
        <v>2</v>
      </c>
      <c r="E84">
        <v>3.1311919699114901</v>
      </c>
      <c r="F84">
        <v>1.5377797436851</v>
      </c>
      <c r="G84">
        <v>17.646021355410401</v>
      </c>
      <c r="H84">
        <v>-4.1611895004091703</v>
      </c>
      <c r="I84">
        <v>10.1932104588253</v>
      </c>
      <c r="J84">
        <v>9.0396302684915408</v>
      </c>
      <c r="K84">
        <v>-5.3465365892309897</v>
      </c>
      <c r="L84">
        <v>12.7263304827759</v>
      </c>
      <c r="M84">
        <v>20.403163974212902</v>
      </c>
      <c r="N84">
        <v>-2.72064946646523E-2</v>
      </c>
      <c r="O84">
        <v>4.0017527276516898</v>
      </c>
      <c r="P84">
        <v>13.165398439273799</v>
      </c>
      <c r="Q84">
        <v>-3.0719652514648401</v>
      </c>
      <c r="R84">
        <v>9.2621209947172307</v>
      </c>
      <c r="S84">
        <v>7.9389139945400604</v>
      </c>
      <c r="T84">
        <v>-4.2880021657816796</v>
      </c>
      <c r="U84">
        <v>11.8679908231219</v>
      </c>
      <c r="V84">
        <v>15.009258035784599</v>
      </c>
    </row>
    <row r="85" spans="1:22" x14ac:dyDescent="0.25">
      <c r="A85">
        <v>84</v>
      </c>
      <c r="B85">
        <v>3066</v>
      </c>
      <c r="C85">
        <v>3</v>
      </c>
      <c r="D85">
        <v>2</v>
      </c>
      <c r="E85">
        <v>-2.2867408163584901</v>
      </c>
      <c r="F85">
        <v>5.4044223877548996</v>
      </c>
      <c r="G85">
        <v>22.645896813608999</v>
      </c>
      <c r="H85">
        <v>3.27012525914567</v>
      </c>
      <c r="I85">
        <v>-2.4434893710987802</v>
      </c>
      <c r="J85">
        <v>10.1609350350426</v>
      </c>
      <c r="K85">
        <v>1.1313755463686801</v>
      </c>
      <c r="L85">
        <v>0.94454366558415304</v>
      </c>
      <c r="M85">
        <v>22.705963267092098</v>
      </c>
      <c r="N85">
        <v>-3.4425530823758601</v>
      </c>
      <c r="O85">
        <v>5.0975777914226299</v>
      </c>
      <c r="P85">
        <v>16.352900109844501</v>
      </c>
      <c r="Q85">
        <v>1.6688465550881</v>
      </c>
      <c r="R85">
        <v>-1.6309643541577701</v>
      </c>
      <c r="S85">
        <v>11.886330854745699</v>
      </c>
      <c r="T85">
        <v>-0.33395177543765198</v>
      </c>
      <c r="U85">
        <v>2.3697176947652498</v>
      </c>
      <c r="V85">
        <v>19.559883215493102</v>
      </c>
    </row>
    <row r="86" spans="1:22" x14ac:dyDescent="0.25">
      <c r="A86">
        <v>85</v>
      </c>
      <c r="B86">
        <v>3068</v>
      </c>
      <c r="C86">
        <v>3</v>
      </c>
      <c r="D86">
        <v>2</v>
      </c>
      <c r="E86">
        <v>-7.9405518686895302</v>
      </c>
      <c r="F86">
        <v>14.0896752147402</v>
      </c>
      <c r="G86">
        <v>26.317006538243501</v>
      </c>
      <c r="H86">
        <v>-3.5663800625036299</v>
      </c>
      <c r="I86">
        <v>8.3852596352194304</v>
      </c>
      <c r="J86">
        <v>8.83646200229078</v>
      </c>
      <c r="K86">
        <v>-1.9805449595634499</v>
      </c>
      <c r="L86">
        <v>3.7430870866685</v>
      </c>
      <c r="M86">
        <v>25.916022328256499</v>
      </c>
      <c r="N86">
        <v>-2.7974426131964201</v>
      </c>
      <c r="O86">
        <v>5.9360313030772902</v>
      </c>
      <c r="P86">
        <v>18.891235193648399</v>
      </c>
      <c r="Q86">
        <v>-3.76518495590798</v>
      </c>
      <c r="R86">
        <v>8.8699536633898202</v>
      </c>
      <c r="S86">
        <v>7.5887093227173601</v>
      </c>
      <c r="T86">
        <v>0.30276121982950599</v>
      </c>
      <c r="U86">
        <v>2.7459709375215602</v>
      </c>
      <c r="V86">
        <v>15.839133829784901</v>
      </c>
    </row>
    <row r="87" spans="1:22" x14ac:dyDescent="0.25">
      <c r="A87">
        <v>86</v>
      </c>
      <c r="B87">
        <v>3069</v>
      </c>
      <c r="C87">
        <v>3</v>
      </c>
      <c r="D87">
        <v>2</v>
      </c>
      <c r="E87">
        <v>-3.7109812247215799</v>
      </c>
      <c r="F87">
        <v>8.8972227662598193</v>
      </c>
      <c r="G87">
        <v>23.905014941494901</v>
      </c>
      <c r="H87">
        <v>4.9058015448096501</v>
      </c>
      <c r="I87">
        <v>-2.7064241616329299</v>
      </c>
      <c r="J87">
        <v>16.7866759728314</v>
      </c>
      <c r="K87">
        <v>-0.67038872509941605</v>
      </c>
      <c r="L87">
        <v>8.3605291353497808</v>
      </c>
      <c r="M87">
        <v>17.147431985612599</v>
      </c>
      <c r="N87">
        <v>-7.0726822177830702</v>
      </c>
      <c r="O87">
        <v>16.137033278382901</v>
      </c>
      <c r="P87">
        <v>9.9699152915541305</v>
      </c>
      <c r="Q87">
        <v>4.6998103114987799</v>
      </c>
      <c r="R87">
        <v>-4.8678003290570304</v>
      </c>
      <c r="S87">
        <v>15.090816193530699</v>
      </c>
      <c r="T87">
        <v>-3.8233969467967901</v>
      </c>
      <c r="U87">
        <v>8.7491838255068597</v>
      </c>
      <c r="V87">
        <v>13.797930837302699</v>
      </c>
    </row>
    <row r="88" spans="1:22" x14ac:dyDescent="0.25">
      <c r="A88">
        <v>87</v>
      </c>
      <c r="B88">
        <v>3070</v>
      </c>
      <c r="C88">
        <v>3</v>
      </c>
      <c r="D88">
        <v>2</v>
      </c>
      <c r="E88">
        <v>-11.342695932089899</v>
      </c>
      <c r="F88">
        <v>28.253139263396999</v>
      </c>
      <c r="G88">
        <v>29.677233373737501</v>
      </c>
      <c r="H88">
        <v>0.55057401661321703</v>
      </c>
      <c r="I88">
        <v>5.4629362877767296</v>
      </c>
      <c r="J88">
        <v>15.0146422612039</v>
      </c>
      <c r="K88">
        <v>-3.3169691279131999</v>
      </c>
      <c r="L88">
        <v>17.016514968034201</v>
      </c>
      <c r="M88">
        <v>13.625037962935499</v>
      </c>
      <c r="N88">
        <v>-2.6749467475889701</v>
      </c>
      <c r="O88">
        <v>14.2541373206349</v>
      </c>
      <c r="P88">
        <v>15.727628724736199</v>
      </c>
      <c r="Q88">
        <v>-4.9970133517291204</v>
      </c>
      <c r="R88">
        <v>12.841838583035299</v>
      </c>
      <c r="S88">
        <v>8.3921947083396997</v>
      </c>
      <c r="T88">
        <v>2.48466510156819</v>
      </c>
      <c r="U88">
        <v>4.5837620645376198</v>
      </c>
      <c r="V88">
        <v>14.5462438147851</v>
      </c>
    </row>
    <row r="89" spans="1:22" x14ac:dyDescent="0.25">
      <c r="A89">
        <v>88</v>
      </c>
      <c r="B89">
        <v>3074</v>
      </c>
      <c r="C89">
        <v>3</v>
      </c>
      <c r="D89">
        <v>2</v>
      </c>
      <c r="E89">
        <v>-9.84631239439687</v>
      </c>
      <c r="F89">
        <v>26.5879493402159</v>
      </c>
      <c r="G89">
        <v>19.291844492893102</v>
      </c>
      <c r="H89">
        <v>-3.6803225630805798</v>
      </c>
      <c r="I89">
        <v>8.95429599922047</v>
      </c>
      <c r="J89">
        <v>6.94351614680056</v>
      </c>
      <c r="K89">
        <v>5.03957784622812</v>
      </c>
      <c r="L89">
        <v>-2.9733682457706299</v>
      </c>
      <c r="M89">
        <v>21.344742142814201</v>
      </c>
      <c r="N89">
        <v>-6.5131215102456004</v>
      </c>
      <c r="O89">
        <v>18.432396330200302</v>
      </c>
      <c r="P89">
        <v>11.8897250610617</v>
      </c>
      <c r="Q89">
        <v>0.61057963495162604</v>
      </c>
      <c r="R89">
        <v>1.29540420985816</v>
      </c>
      <c r="S89">
        <v>8.4081506100964205</v>
      </c>
      <c r="T89">
        <v>5.08529464950412</v>
      </c>
      <c r="U89">
        <v>-7.4189686006376698</v>
      </c>
      <c r="V89">
        <v>18.726797313464399</v>
      </c>
    </row>
    <row r="90" spans="1:22" x14ac:dyDescent="0.25">
      <c r="A90">
        <v>89</v>
      </c>
      <c r="B90">
        <v>3076</v>
      </c>
      <c r="C90">
        <v>3</v>
      </c>
      <c r="D90">
        <v>2</v>
      </c>
      <c r="E90">
        <v>0.95722799018473503</v>
      </c>
      <c r="F90">
        <v>-0.84791479203176401</v>
      </c>
      <c r="G90">
        <v>33.750465502495501</v>
      </c>
      <c r="H90">
        <v>1.79174288524791</v>
      </c>
      <c r="I90">
        <v>2.67211334676974</v>
      </c>
      <c r="J90">
        <v>12.366456886750299</v>
      </c>
      <c r="K90">
        <v>4.2502400040535502</v>
      </c>
      <c r="L90">
        <v>-7.1751494658575998</v>
      </c>
      <c r="M90">
        <v>30.376965128125999</v>
      </c>
      <c r="N90">
        <v>-0.67301097987593095</v>
      </c>
      <c r="O90">
        <v>4.9986049774258099</v>
      </c>
      <c r="P90">
        <v>21.933116042017499</v>
      </c>
      <c r="Q90">
        <v>-2.80830199799765</v>
      </c>
      <c r="R90">
        <v>5.9064186226455</v>
      </c>
      <c r="S90">
        <v>12.583597469991901</v>
      </c>
      <c r="T90">
        <v>14.1738940313583</v>
      </c>
      <c r="U90">
        <v>-20.600131707376502</v>
      </c>
      <c r="V90">
        <v>28.5915009669264</v>
      </c>
    </row>
    <row r="91" spans="1:22" x14ac:dyDescent="0.25">
      <c r="A91">
        <v>90</v>
      </c>
      <c r="B91">
        <v>3086</v>
      </c>
      <c r="C91">
        <v>3</v>
      </c>
      <c r="D91">
        <v>2</v>
      </c>
      <c r="E91">
        <v>-5.1097657783831503</v>
      </c>
      <c r="F91">
        <v>15.050818758621499</v>
      </c>
      <c r="G91">
        <v>22.155382876732101</v>
      </c>
      <c r="H91">
        <v>-8.4474760822129706</v>
      </c>
      <c r="I91">
        <v>15.025595098838499</v>
      </c>
      <c r="J91">
        <v>10.893151535815999</v>
      </c>
      <c r="K91">
        <v>-0.49776359829427302</v>
      </c>
      <c r="L91">
        <v>2.84151038314271</v>
      </c>
      <c r="M91">
        <v>20.244933601300701</v>
      </c>
      <c r="N91">
        <v>-0.77605377709738199</v>
      </c>
      <c r="O91">
        <v>7.7248826555360397</v>
      </c>
      <c r="P91">
        <v>14.7822891665977</v>
      </c>
      <c r="Q91">
        <v>-5.4937969699166596</v>
      </c>
      <c r="R91">
        <v>10.676808364383801</v>
      </c>
      <c r="S91">
        <v>10.4128944349264</v>
      </c>
      <c r="T91">
        <v>-1.6679020208951101</v>
      </c>
      <c r="U91">
        <v>4.7360231517928497</v>
      </c>
      <c r="V91">
        <v>16.5114150128075</v>
      </c>
    </row>
    <row r="92" spans="1:22" x14ac:dyDescent="0.25">
      <c r="A92">
        <v>91</v>
      </c>
      <c r="B92">
        <v>3090</v>
      </c>
      <c r="C92">
        <v>3</v>
      </c>
      <c r="D92">
        <v>2</v>
      </c>
      <c r="E92">
        <v>2.1456298286827198</v>
      </c>
      <c r="F92">
        <v>-0.49319436348163698</v>
      </c>
      <c r="G92">
        <v>33.882106691906401</v>
      </c>
      <c r="H92">
        <v>7.2909250914987904</v>
      </c>
      <c r="I92">
        <v>-4.84322281056291</v>
      </c>
      <c r="J92">
        <v>21.0723895496049</v>
      </c>
      <c r="K92">
        <v>-1.53433649967351</v>
      </c>
      <c r="L92">
        <v>7.5003733881618997</v>
      </c>
      <c r="M92">
        <v>19.9953987862011</v>
      </c>
      <c r="N92">
        <v>2.31162447056</v>
      </c>
      <c r="O92">
        <v>-1.40456310870316</v>
      </c>
      <c r="P92">
        <v>23.564541825371698</v>
      </c>
      <c r="Q92">
        <v>1.8353971131347</v>
      </c>
      <c r="R92">
        <v>3.4872804648464002</v>
      </c>
      <c r="S92">
        <v>10.180059477534099</v>
      </c>
      <c r="T92">
        <v>-0.80147824199040396</v>
      </c>
      <c r="U92">
        <v>8.8327768752208602</v>
      </c>
      <c r="V92">
        <v>17.063101362824501</v>
      </c>
    </row>
    <row r="93" spans="1:22" x14ac:dyDescent="0.25">
      <c r="A93">
        <v>92</v>
      </c>
      <c r="B93">
        <v>3102</v>
      </c>
      <c r="C93">
        <v>3</v>
      </c>
      <c r="D93">
        <v>2</v>
      </c>
      <c r="E93">
        <v>5.7176410049955999</v>
      </c>
      <c r="F93">
        <v>1.7746207932314999</v>
      </c>
      <c r="G93">
        <v>29.5422373880313</v>
      </c>
      <c r="H93">
        <v>2.3932086180973999</v>
      </c>
      <c r="I93">
        <v>-1.4271938053728701</v>
      </c>
      <c r="J93">
        <v>10.413238130206601</v>
      </c>
      <c r="K93">
        <v>-9.0163507473255304</v>
      </c>
      <c r="L93">
        <v>22.809919301674</v>
      </c>
      <c r="M93">
        <v>14.835962881450101</v>
      </c>
      <c r="N93">
        <v>11.123397559845699</v>
      </c>
      <c r="O93">
        <v>-8.9875145810668506</v>
      </c>
      <c r="P93">
        <v>20.902412561850301</v>
      </c>
      <c r="Q93">
        <v>2.0481613658106399</v>
      </c>
      <c r="R93">
        <v>-1.3933937990799901</v>
      </c>
      <c r="S93">
        <v>8.3524569073106303</v>
      </c>
      <c r="T93">
        <v>-2.5606610848995399</v>
      </c>
      <c r="U93">
        <v>8.1562142596110903</v>
      </c>
      <c r="V93">
        <v>12.487245942311899</v>
      </c>
    </row>
    <row r="94" spans="1:22" x14ac:dyDescent="0.25">
      <c r="A94">
        <v>93</v>
      </c>
      <c r="B94">
        <v>3104</v>
      </c>
      <c r="C94">
        <v>3</v>
      </c>
      <c r="D94">
        <v>2</v>
      </c>
      <c r="E94">
        <v>-12.682419617025401</v>
      </c>
      <c r="F94">
        <v>27.5547887752134</v>
      </c>
      <c r="G94">
        <v>15.871319122263399</v>
      </c>
      <c r="H94">
        <v>4.1613091315171102</v>
      </c>
      <c r="I94">
        <v>3.46187275326698</v>
      </c>
      <c r="J94">
        <v>13.163082342336899</v>
      </c>
      <c r="K94">
        <v>-0.94331263646202401</v>
      </c>
      <c r="L94">
        <v>5.6113354486516904</v>
      </c>
      <c r="M94">
        <v>23.123168244861802</v>
      </c>
      <c r="N94">
        <v>-5.5925797939625896</v>
      </c>
      <c r="O94">
        <v>14.0439315873202</v>
      </c>
      <c r="P94">
        <v>12.1523222808933</v>
      </c>
      <c r="Q94">
        <v>3.0365200188245098</v>
      </c>
      <c r="R94">
        <v>5.1806369730358899</v>
      </c>
      <c r="S94">
        <v>8.3250860041389103</v>
      </c>
      <c r="T94">
        <v>1.22929093452475</v>
      </c>
      <c r="U94">
        <v>4.0517762865816103</v>
      </c>
      <c r="V94">
        <v>17.777062739299499</v>
      </c>
    </row>
    <row r="95" spans="1:22" x14ac:dyDescent="0.25">
      <c r="A95">
        <v>94</v>
      </c>
      <c r="B95">
        <v>3105</v>
      </c>
      <c r="C95">
        <v>3</v>
      </c>
      <c r="D95">
        <v>2</v>
      </c>
      <c r="E95">
        <v>-5.2599067912640596</v>
      </c>
      <c r="F95">
        <v>14.7559260879814</v>
      </c>
      <c r="G95">
        <v>22.893028979224901</v>
      </c>
      <c r="H95">
        <v>0.33533271276030202</v>
      </c>
      <c r="I95">
        <v>3.2633124530790201</v>
      </c>
      <c r="J95">
        <v>11.970874904831801</v>
      </c>
      <c r="K95">
        <v>-4.0971647951906203</v>
      </c>
      <c r="L95">
        <v>12.678904487335901</v>
      </c>
      <c r="M95">
        <v>14.3157177655781</v>
      </c>
      <c r="N95">
        <v>-3.78588780785174</v>
      </c>
      <c r="O95">
        <v>9.8364896016033008</v>
      </c>
      <c r="P95">
        <v>14.6568973603367</v>
      </c>
      <c r="Q95">
        <v>3.1085774939609299</v>
      </c>
      <c r="R95">
        <v>-1.5734445797260099</v>
      </c>
      <c r="S95">
        <v>9.91965735569533</v>
      </c>
      <c r="T95">
        <v>-2.8773628213760198</v>
      </c>
      <c r="U95">
        <v>8.1920640846095303</v>
      </c>
      <c r="V95">
        <v>11.6583672365373</v>
      </c>
    </row>
    <row r="96" spans="1:22" x14ac:dyDescent="0.25">
      <c r="A96">
        <v>95</v>
      </c>
      <c r="B96">
        <v>3106</v>
      </c>
      <c r="C96">
        <v>3</v>
      </c>
      <c r="D96">
        <v>2</v>
      </c>
      <c r="E96">
        <v>-4.6820471164653803</v>
      </c>
      <c r="F96">
        <v>15.6711189007061</v>
      </c>
      <c r="G96">
        <v>18.540994553156199</v>
      </c>
      <c r="H96">
        <v>-0.71517015315401</v>
      </c>
      <c r="I96">
        <v>4.49611706683487</v>
      </c>
      <c r="J96">
        <v>8.0614810864664292</v>
      </c>
      <c r="K96">
        <v>-4.0294715477441301</v>
      </c>
      <c r="L96">
        <v>11.5652946769079</v>
      </c>
      <c r="M96">
        <v>16.959961950793499</v>
      </c>
      <c r="N96">
        <v>-2.4295228340934401</v>
      </c>
      <c r="O96">
        <v>9.4617820373638999</v>
      </c>
      <c r="P96">
        <v>11.7322433261455</v>
      </c>
      <c r="Q96">
        <v>-1.8413024111099401</v>
      </c>
      <c r="R96">
        <v>6.9325215018274502</v>
      </c>
      <c r="S96">
        <v>6.7975422444925098</v>
      </c>
      <c r="T96">
        <v>-3.1656279115348802</v>
      </c>
      <c r="U96">
        <v>11.408252726636199</v>
      </c>
      <c r="V96">
        <v>12.975989505050499</v>
      </c>
    </row>
    <row r="97" spans="1:22" x14ac:dyDescent="0.25">
      <c r="A97">
        <v>96</v>
      </c>
      <c r="B97">
        <v>3108</v>
      </c>
      <c r="C97">
        <v>3</v>
      </c>
      <c r="D97">
        <v>2</v>
      </c>
      <c r="E97">
        <v>4.3485466409838898</v>
      </c>
      <c r="F97">
        <v>-3.4136895352293899</v>
      </c>
      <c r="G97">
        <v>39.777390193704498</v>
      </c>
      <c r="H97">
        <v>-7.3544928742575602</v>
      </c>
      <c r="I97">
        <v>15.854484258918999</v>
      </c>
      <c r="J97">
        <v>13.1525635246067</v>
      </c>
      <c r="K97">
        <v>10.1665104651118</v>
      </c>
      <c r="L97">
        <v>1.8625048005826399</v>
      </c>
      <c r="M97">
        <v>16.112214214632701</v>
      </c>
      <c r="N97">
        <v>-2.1020039800371801</v>
      </c>
      <c r="O97">
        <v>4.1920733000322796</v>
      </c>
      <c r="P97">
        <v>25.959036007693499</v>
      </c>
      <c r="Q97">
        <v>-6.2211508124261004</v>
      </c>
      <c r="R97">
        <v>13.9648803562668</v>
      </c>
      <c r="S97">
        <v>8.8488118979028503</v>
      </c>
      <c r="T97">
        <v>3.2032750271094002</v>
      </c>
      <c r="U97">
        <v>3.6210176843197299</v>
      </c>
      <c r="V97">
        <v>12.645018363111401</v>
      </c>
    </row>
    <row r="98" spans="1:22" x14ac:dyDescent="0.25">
      <c r="A98">
        <v>97</v>
      </c>
      <c r="B98">
        <v>3110</v>
      </c>
      <c r="C98">
        <v>3</v>
      </c>
      <c r="D98">
        <v>2</v>
      </c>
      <c r="E98">
        <v>7.7239040901637797</v>
      </c>
      <c r="F98">
        <v>-8.7327792807739399</v>
      </c>
      <c r="G98">
        <v>42.253897910283598</v>
      </c>
      <c r="H98">
        <v>7.6877621707225297</v>
      </c>
      <c r="I98">
        <v>-12.794980876051699</v>
      </c>
      <c r="J98">
        <v>20.744042618931601</v>
      </c>
      <c r="K98">
        <v>-5.5541484083287402</v>
      </c>
      <c r="L98">
        <v>15.517092608680899</v>
      </c>
      <c r="M98">
        <v>19.6548511477231</v>
      </c>
      <c r="N98">
        <v>4.5343486759942602</v>
      </c>
      <c r="O98">
        <v>-7.8919654877294398</v>
      </c>
      <c r="P98">
        <v>31.920230364016401</v>
      </c>
      <c r="Q98">
        <v>5.43233131474922</v>
      </c>
      <c r="R98">
        <v>-11.350516043498001</v>
      </c>
      <c r="S98">
        <v>16.383999810026801</v>
      </c>
      <c r="T98">
        <v>3.3379011783519701</v>
      </c>
      <c r="U98">
        <v>-0.45840887731549801</v>
      </c>
      <c r="V98">
        <v>18.5327691784263</v>
      </c>
    </row>
    <row r="99" spans="1:22" x14ac:dyDescent="0.25">
      <c r="A99">
        <v>98</v>
      </c>
      <c r="B99">
        <v>3112</v>
      </c>
      <c r="C99">
        <v>3</v>
      </c>
      <c r="D99">
        <v>2</v>
      </c>
      <c r="E99">
        <v>-7.4070343478315799</v>
      </c>
      <c r="F99">
        <v>17.1918717220424</v>
      </c>
      <c r="G99">
        <v>20.4483490382067</v>
      </c>
      <c r="H99">
        <v>-1.31287341215069</v>
      </c>
      <c r="I99">
        <v>2.31526585118934</v>
      </c>
      <c r="J99">
        <v>14.224182063259001</v>
      </c>
      <c r="K99">
        <v>-6.8898770243343597</v>
      </c>
      <c r="L99">
        <v>13.948733095307301</v>
      </c>
      <c r="M99">
        <v>18.173576142492902</v>
      </c>
      <c r="N99">
        <v>-5.2797760354563703</v>
      </c>
      <c r="O99">
        <v>12.1192245830545</v>
      </c>
      <c r="P99">
        <v>12.3719984414709</v>
      </c>
      <c r="Q99">
        <v>-1.51542179142325</v>
      </c>
      <c r="R99">
        <v>5.0996939582720398</v>
      </c>
      <c r="S99">
        <v>8.9204221406334607</v>
      </c>
      <c r="T99">
        <v>-1.7266392718611501</v>
      </c>
      <c r="U99">
        <v>6.1367692002821803</v>
      </c>
      <c r="V99">
        <v>14.9108419041748</v>
      </c>
    </row>
    <row r="100" spans="1:22" x14ac:dyDescent="0.25">
      <c r="A100">
        <v>99</v>
      </c>
      <c r="B100">
        <v>3113</v>
      </c>
      <c r="C100">
        <v>3</v>
      </c>
      <c r="D100">
        <v>2</v>
      </c>
      <c r="E100">
        <v>2.3310003716666401</v>
      </c>
      <c r="F100">
        <v>3.84501519065208</v>
      </c>
      <c r="G100">
        <v>28.3666546620201</v>
      </c>
      <c r="H100">
        <v>-3.15172369370298</v>
      </c>
      <c r="I100">
        <v>10.931240996104</v>
      </c>
      <c r="J100">
        <v>10.1484235400843</v>
      </c>
      <c r="K100">
        <v>0.68207579275013897</v>
      </c>
      <c r="L100">
        <v>7.2486687033044097</v>
      </c>
      <c r="M100">
        <v>17.3459857950326</v>
      </c>
      <c r="N100">
        <v>-1.4880954505266299</v>
      </c>
      <c r="O100">
        <v>5.384474469283</v>
      </c>
      <c r="P100">
        <v>21.5032774137463</v>
      </c>
      <c r="Q100">
        <v>-0.88550124478510694</v>
      </c>
      <c r="R100">
        <v>5.8157205392096998</v>
      </c>
      <c r="S100">
        <v>10.8679226334762</v>
      </c>
      <c r="T100">
        <v>-1.67476299587233</v>
      </c>
      <c r="U100">
        <v>8.7730745815203299</v>
      </c>
      <c r="V100">
        <v>15.649002590551399</v>
      </c>
    </row>
    <row r="101" spans="1:22" x14ac:dyDescent="0.25">
      <c r="A101">
        <v>100</v>
      </c>
      <c r="B101">
        <v>3114</v>
      </c>
      <c r="C101">
        <v>3</v>
      </c>
      <c r="D101">
        <v>2</v>
      </c>
      <c r="E101">
        <v>-4.9713216207221702</v>
      </c>
      <c r="F101">
        <v>11.0240611272789</v>
      </c>
      <c r="G101">
        <v>34.611032954456697</v>
      </c>
      <c r="H101">
        <v>-8.6961237619689005</v>
      </c>
      <c r="I101">
        <v>14.6300125363564</v>
      </c>
      <c r="J101">
        <v>10.3852076059207</v>
      </c>
      <c r="K101">
        <v>-2.9339924301206302</v>
      </c>
      <c r="L101">
        <v>9.9006891260846501</v>
      </c>
      <c r="M101">
        <v>22.332410047678501</v>
      </c>
      <c r="N101">
        <v>-5.88614530055687</v>
      </c>
      <c r="O101">
        <v>11.6555091293492</v>
      </c>
      <c r="P101">
        <v>25.114620884288701</v>
      </c>
      <c r="Q101">
        <v>-8.9524596712209803</v>
      </c>
      <c r="R101">
        <v>15.609975089142401</v>
      </c>
      <c r="S101">
        <v>6.6743139785085601</v>
      </c>
      <c r="T101">
        <v>-0.59731077807064503</v>
      </c>
      <c r="U101">
        <v>6.9356273252028897</v>
      </c>
      <c r="V101">
        <v>15.5965544837818</v>
      </c>
    </row>
    <row r="102" spans="1:22" x14ac:dyDescent="0.25">
      <c r="A102">
        <v>101</v>
      </c>
      <c r="B102">
        <v>3123</v>
      </c>
      <c r="C102">
        <v>3</v>
      </c>
      <c r="D102">
        <v>2</v>
      </c>
      <c r="E102">
        <v>-6.6691673495936001</v>
      </c>
      <c r="F102">
        <v>17.566826386042099</v>
      </c>
      <c r="G102">
        <v>29.818669177595901</v>
      </c>
      <c r="H102">
        <v>-5.6582377481217501</v>
      </c>
      <c r="I102">
        <v>15.4948965270865</v>
      </c>
      <c r="J102">
        <v>10.0294267677418</v>
      </c>
      <c r="K102">
        <v>-5.0580064354734704</v>
      </c>
      <c r="L102">
        <v>13.477522689991799</v>
      </c>
      <c r="M102">
        <v>19.010378508182299</v>
      </c>
      <c r="N102">
        <v>-10.7901409163452</v>
      </c>
      <c r="O102">
        <v>22.6227934439999</v>
      </c>
      <c r="P102">
        <v>19.128464624516099</v>
      </c>
      <c r="Q102">
        <v>-4.0197265784081804</v>
      </c>
      <c r="R102">
        <v>9.3976357860493707</v>
      </c>
      <c r="S102">
        <v>10.1061795880644</v>
      </c>
      <c r="T102">
        <v>1.76891732898274</v>
      </c>
      <c r="U102">
        <v>3.4141494526504301</v>
      </c>
      <c r="V102">
        <v>16.354589488472602</v>
      </c>
    </row>
    <row r="103" spans="1:22" x14ac:dyDescent="0.25">
      <c r="A103">
        <v>102</v>
      </c>
      <c r="B103">
        <v>3128</v>
      </c>
      <c r="C103">
        <v>3</v>
      </c>
      <c r="D103">
        <v>2</v>
      </c>
      <c r="E103">
        <v>-0.35203691376699903</v>
      </c>
      <c r="F103">
        <v>-0.25091769771266098</v>
      </c>
      <c r="G103">
        <v>37.458857962680298</v>
      </c>
      <c r="H103">
        <v>2.0276495644022399</v>
      </c>
      <c r="I103">
        <v>1.7658935868405401</v>
      </c>
      <c r="J103">
        <v>14.3609782806826</v>
      </c>
      <c r="K103">
        <v>2.6116831872467698</v>
      </c>
      <c r="L103">
        <v>1.4664368695610499</v>
      </c>
      <c r="M103">
        <v>26.137862935412201</v>
      </c>
      <c r="N103">
        <v>-3.3094754036594098</v>
      </c>
      <c r="O103">
        <v>10.293044603853</v>
      </c>
      <c r="P103">
        <v>15.130750388708</v>
      </c>
      <c r="Q103">
        <v>0.61837321979269999</v>
      </c>
      <c r="R103">
        <v>4.6785791093593003</v>
      </c>
      <c r="S103">
        <v>8.0007239482988393</v>
      </c>
      <c r="T103">
        <v>5.2226511322872096</v>
      </c>
      <c r="U103">
        <v>-5.7934700121404097</v>
      </c>
      <c r="V103">
        <v>20.091186811520899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F30E-B46D-401C-912E-A6EF2F573C6D}">
  <dimension ref="A1:V104"/>
  <sheetViews>
    <sheetView zoomScaleNormal="100" workbookViewId="0">
      <selection activeCell="E78" sqref="E78"/>
    </sheetView>
  </sheetViews>
  <sheetFormatPr defaultRowHeight="15" x14ac:dyDescent="0.25"/>
  <cols>
    <col min="1" max="1" width="15" customWidth="1"/>
    <col min="2" max="2" width="14.140625" customWidth="1"/>
    <col min="3" max="4" width="11.5703125" customWidth="1"/>
  </cols>
  <sheetData>
    <row r="1" spans="1:22" x14ac:dyDescent="0.25">
      <c r="E1" t="s">
        <v>8</v>
      </c>
      <c r="H1" t="s">
        <v>9</v>
      </c>
      <c r="K1" t="s">
        <v>10</v>
      </c>
      <c r="N1" t="s">
        <v>11</v>
      </c>
      <c r="Q1" t="s">
        <v>12</v>
      </c>
      <c r="T1" t="s">
        <v>13</v>
      </c>
    </row>
    <row r="2" spans="1:22" x14ac:dyDescent="0.25">
      <c r="A2" t="s">
        <v>19</v>
      </c>
      <c r="B2" t="s">
        <v>21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 t="s">
        <v>17</v>
      </c>
      <c r="J2" t="s">
        <v>18</v>
      </c>
      <c r="K2" t="s">
        <v>16</v>
      </c>
      <c r="L2" t="s">
        <v>17</v>
      </c>
      <c r="M2" t="s">
        <v>18</v>
      </c>
      <c r="N2" t="s">
        <v>16</v>
      </c>
      <c r="O2" t="s">
        <v>17</v>
      </c>
      <c r="P2" t="s">
        <v>18</v>
      </c>
      <c r="Q2" t="s">
        <v>16</v>
      </c>
      <c r="R2" t="s">
        <v>17</v>
      </c>
      <c r="S2" t="s">
        <v>18</v>
      </c>
      <c r="T2" t="s">
        <v>16</v>
      </c>
      <c r="U2" t="s">
        <v>17</v>
      </c>
      <c r="V2" t="s">
        <v>18</v>
      </c>
    </row>
    <row r="3" spans="1:22" x14ac:dyDescent="0.25">
      <c r="A3">
        <v>1</v>
      </c>
      <c r="B3" s="1">
        <v>1002</v>
      </c>
      <c r="C3">
        <v>1</v>
      </c>
      <c r="D3">
        <v>1</v>
      </c>
      <c r="E3">
        <v>2.5758696219775001</v>
      </c>
      <c r="F3">
        <v>-2.2880118035744701</v>
      </c>
      <c r="G3">
        <v>15.226540024807999</v>
      </c>
      <c r="H3">
        <v>0.44537345101217801</v>
      </c>
      <c r="I3">
        <v>3.87686615903411</v>
      </c>
      <c r="J3">
        <v>9.9362156734769407</v>
      </c>
      <c r="K3">
        <v>0.97400577961409995</v>
      </c>
      <c r="L3">
        <v>2.86899738937419</v>
      </c>
      <c r="M3">
        <v>8.0001659459981802</v>
      </c>
      <c r="N3">
        <v>-1.75435950489531</v>
      </c>
      <c r="O3">
        <v>7.3035490184150902</v>
      </c>
      <c r="P3">
        <v>6.3517243579210199</v>
      </c>
      <c r="Q3">
        <v>-0.73018539700978202</v>
      </c>
      <c r="R3">
        <v>6.0136286454108498</v>
      </c>
      <c r="S3">
        <v>6.1242813477438398</v>
      </c>
      <c r="T3">
        <v>-2.7133841642240002</v>
      </c>
      <c r="U3">
        <v>6.3612032574442097</v>
      </c>
      <c r="V3">
        <v>6.81597027089229</v>
      </c>
    </row>
    <row r="4" spans="1:22" x14ac:dyDescent="0.25">
      <c r="A4">
        <v>2</v>
      </c>
      <c r="B4">
        <v>1004</v>
      </c>
      <c r="C4">
        <v>1</v>
      </c>
      <c r="D4">
        <v>1</v>
      </c>
      <c r="E4">
        <v>1.0259755865957301</v>
      </c>
      <c r="F4">
        <v>6.6536874145939304</v>
      </c>
      <c r="G4">
        <v>14.3275490056512</v>
      </c>
      <c r="H4">
        <v>1.13897696921175</v>
      </c>
      <c r="I4">
        <v>6.5808026864231302</v>
      </c>
      <c r="J4">
        <v>11.3077066443112</v>
      </c>
      <c r="K4">
        <v>2.5713543296408701</v>
      </c>
      <c r="L4">
        <v>5.96940360651943</v>
      </c>
      <c r="M4">
        <v>7.68262978782729</v>
      </c>
      <c r="N4">
        <v>-0.93927508969956197</v>
      </c>
      <c r="O4">
        <v>4.9765303685339104</v>
      </c>
      <c r="P4">
        <v>8.6420906346936395</v>
      </c>
      <c r="Q4">
        <v>0.103776036583728</v>
      </c>
      <c r="R4">
        <v>5.6224541746223098</v>
      </c>
      <c r="S4">
        <v>8.3549208698214397</v>
      </c>
      <c r="T4">
        <v>-0.95706533937335903</v>
      </c>
      <c r="U4">
        <v>4.6161802167134303</v>
      </c>
      <c r="V4">
        <v>9.0847048759755396</v>
      </c>
    </row>
    <row r="5" spans="1:22" x14ac:dyDescent="0.25">
      <c r="A5">
        <v>3</v>
      </c>
      <c r="B5">
        <v>1007</v>
      </c>
      <c r="C5">
        <v>1</v>
      </c>
      <c r="D5">
        <v>1</v>
      </c>
      <c r="E5">
        <v>1.7653180196754901</v>
      </c>
      <c r="F5">
        <v>-2.0178311241742399</v>
      </c>
      <c r="G5">
        <v>18.6845690133982</v>
      </c>
      <c r="H5">
        <v>-6.1578064531429</v>
      </c>
      <c r="I5">
        <v>14.879171795554299</v>
      </c>
      <c r="J5">
        <v>21.066928161836898</v>
      </c>
      <c r="K5">
        <v>-1.7690926821267801</v>
      </c>
      <c r="L5">
        <v>4.9219248690913604</v>
      </c>
      <c r="M5">
        <v>13.6306061270709</v>
      </c>
      <c r="N5">
        <v>5.2900781051123698</v>
      </c>
      <c r="O5">
        <v>-4.69867504827051</v>
      </c>
      <c r="P5">
        <v>12.1340120463591</v>
      </c>
      <c r="Q5">
        <v>0.12362839105585401</v>
      </c>
      <c r="R5">
        <v>3.9808655779742699</v>
      </c>
      <c r="S5">
        <v>15.0201705975058</v>
      </c>
      <c r="T5">
        <v>2.38588491786463</v>
      </c>
      <c r="U5">
        <v>-4.9105390420636201</v>
      </c>
      <c r="V5">
        <v>15.9670080690892</v>
      </c>
    </row>
    <row r="6" spans="1:22" x14ac:dyDescent="0.25">
      <c r="A6">
        <v>4</v>
      </c>
      <c r="B6">
        <v>1009</v>
      </c>
      <c r="C6">
        <v>1</v>
      </c>
      <c r="D6">
        <v>1</v>
      </c>
      <c r="E6">
        <v>1.1236708742768999</v>
      </c>
      <c r="F6">
        <v>5.8800865466257504</v>
      </c>
      <c r="G6">
        <v>13.879955725011699</v>
      </c>
      <c r="H6">
        <v>-1.0827046215253</v>
      </c>
      <c r="I6">
        <v>-1.3421756755394301</v>
      </c>
      <c r="J6">
        <v>14.733222227222599</v>
      </c>
      <c r="K6">
        <v>-0.134381857316583</v>
      </c>
      <c r="L6">
        <v>5.9939260566882302</v>
      </c>
      <c r="M6">
        <v>8.4191290215080805</v>
      </c>
      <c r="N6">
        <v>-2.5269339508789499</v>
      </c>
      <c r="O6">
        <v>7.9755360561823396</v>
      </c>
      <c r="P6">
        <v>7.4516947245469902</v>
      </c>
      <c r="Q6">
        <v>-2.16704639249234</v>
      </c>
      <c r="R6">
        <v>2.7305515683901298</v>
      </c>
      <c r="S6">
        <v>10.094045722407801</v>
      </c>
      <c r="T6">
        <v>-1.3074891316827599</v>
      </c>
      <c r="U6">
        <v>4.4683642911119197</v>
      </c>
      <c r="V6">
        <v>7.8297603966385099</v>
      </c>
    </row>
    <row r="7" spans="1:22" x14ac:dyDescent="0.25">
      <c r="A7">
        <v>5</v>
      </c>
      <c r="B7">
        <v>1010</v>
      </c>
      <c r="C7">
        <v>1</v>
      </c>
      <c r="D7">
        <v>1</v>
      </c>
      <c r="E7">
        <v>-0.45826050719480099</v>
      </c>
      <c r="F7">
        <v>4.5000577063021803</v>
      </c>
      <c r="G7">
        <v>16.041258439987299</v>
      </c>
      <c r="H7">
        <v>6.4282262295575103</v>
      </c>
      <c r="I7">
        <v>-5.4938188277757103</v>
      </c>
      <c r="J7">
        <v>18.629097263303098</v>
      </c>
      <c r="K7">
        <v>-0.40645571713433198</v>
      </c>
      <c r="L7">
        <v>7.6248972415443896</v>
      </c>
      <c r="M7">
        <v>8.6167223030801292</v>
      </c>
      <c r="N7">
        <v>-2.29712948344635</v>
      </c>
      <c r="O7">
        <v>9.0305309957303308</v>
      </c>
      <c r="P7">
        <v>6.2929669039337899</v>
      </c>
      <c r="Q7">
        <v>0.43845188607959401</v>
      </c>
      <c r="R7">
        <v>1.30836994259683</v>
      </c>
      <c r="S7">
        <v>14.2911892022007</v>
      </c>
      <c r="T7">
        <v>-6.2409479307188898</v>
      </c>
      <c r="U7">
        <v>13.2165904405572</v>
      </c>
      <c r="V7">
        <v>8.1062645238292195</v>
      </c>
    </row>
    <row r="8" spans="1:22" x14ac:dyDescent="0.25">
      <c r="A8">
        <v>6</v>
      </c>
      <c r="B8">
        <v>1011</v>
      </c>
      <c r="C8">
        <v>1</v>
      </c>
      <c r="D8">
        <v>1</v>
      </c>
      <c r="E8">
        <v>-1.4081779139763599</v>
      </c>
      <c r="F8">
        <v>8.1622627272349195</v>
      </c>
      <c r="G8">
        <v>14.87167795011</v>
      </c>
      <c r="H8">
        <v>-1.1006620138250001</v>
      </c>
      <c r="I8">
        <v>3.26228460615854</v>
      </c>
      <c r="J8">
        <v>16.383642022246399</v>
      </c>
      <c r="K8">
        <v>1.0302713823780201</v>
      </c>
      <c r="L8">
        <v>3.0126905599943701</v>
      </c>
      <c r="M8">
        <v>6.0562634450268797</v>
      </c>
      <c r="N8">
        <v>-1.76913038365785</v>
      </c>
      <c r="O8">
        <v>7.3087349548953</v>
      </c>
      <c r="P8">
        <v>6.8320649038635501</v>
      </c>
      <c r="Q8">
        <v>-4.3139515444983401</v>
      </c>
      <c r="R8">
        <v>10.254730156370099</v>
      </c>
      <c r="S8">
        <v>8.6325248297738408</v>
      </c>
      <c r="T8">
        <v>0.49193636482067998</v>
      </c>
      <c r="U8">
        <v>3.8871629591380601</v>
      </c>
      <c r="V8">
        <v>4.4080375787494201</v>
      </c>
    </row>
    <row r="9" spans="1:22" x14ac:dyDescent="0.25">
      <c r="A9">
        <v>7</v>
      </c>
      <c r="B9">
        <v>1012</v>
      </c>
      <c r="C9">
        <v>1</v>
      </c>
      <c r="D9">
        <v>1</v>
      </c>
      <c r="E9">
        <v>-0.81901129106029702</v>
      </c>
      <c r="F9">
        <v>10.244514618607401</v>
      </c>
      <c r="G9">
        <v>14.745171541341501</v>
      </c>
      <c r="H9">
        <v>1.75217044171873</v>
      </c>
      <c r="I9">
        <v>-0.76672546413891596</v>
      </c>
      <c r="J9">
        <v>16.902203530064298</v>
      </c>
      <c r="K9">
        <v>-0.15792651084926099</v>
      </c>
      <c r="L9">
        <v>2.2433410925064101</v>
      </c>
      <c r="M9">
        <v>13.8126480014334</v>
      </c>
      <c r="N9">
        <v>1.2986579194494501</v>
      </c>
      <c r="O9">
        <v>2.2219927287114598</v>
      </c>
      <c r="P9">
        <v>8.8571481003188808</v>
      </c>
      <c r="Q9">
        <v>0.61372350572686096</v>
      </c>
      <c r="R9">
        <v>0.84990014605195596</v>
      </c>
      <c r="S9">
        <v>10.8869131564068</v>
      </c>
      <c r="T9">
        <v>0.40914172159434797</v>
      </c>
      <c r="U9">
        <v>-0.66117326605399296</v>
      </c>
      <c r="V9">
        <v>14.9227301207578</v>
      </c>
    </row>
    <row r="10" spans="1:22" x14ac:dyDescent="0.25">
      <c r="A10">
        <v>8</v>
      </c>
      <c r="B10">
        <v>1013</v>
      </c>
      <c r="C10">
        <v>1</v>
      </c>
      <c r="D10">
        <v>1</v>
      </c>
      <c r="E10">
        <v>2.58330083074285</v>
      </c>
      <c r="F10">
        <v>2.8623408871876301</v>
      </c>
      <c r="G10">
        <v>16.4909125100911</v>
      </c>
      <c r="H10">
        <v>7.3805001646507904</v>
      </c>
      <c r="I10">
        <v>-12.4171861014581</v>
      </c>
      <c r="J10">
        <v>23.3786309748529</v>
      </c>
      <c r="K10">
        <v>-0.27257612126702602</v>
      </c>
      <c r="L10">
        <v>5.0938647606629202</v>
      </c>
      <c r="M10">
        <v>10.4367987856543</v>
      </c>
      <c r="N10">
        <v>-0.84259220300039905</v>
      </c>
      <c r="O10">
        <v>6.0397539722925</v>
      </c>
      <c r="P10">
        <v>8.5868972355473598</v>
      </c>
      <c r="Q10">
        <v>4.5863485604765</v>
      </c>
      <c r="R10">
        <v>-8.3034721995674605</v>
      </c>
      <c r="S10">
        <v>18.069372170045</v>
      </c>
      <c r="T10">
        <v>-5.0222111175422297</v>
      </c>
      <c r="U10">
        <v>12.449829113626199</v>
      </c>
      <c r="V10">
        <v>7.8366619239235602</v>
      </c>
    </row>
    <row r="11" spans="1:22" x14ac:dyDescent="0.25">
      <c r="A11">
        <v>9</v>
      </c>
      <c r="B11">
        <v>1017</v>
      </c>
      <c r="C11">
        <v>1</v>
      </c>
      <c r="D11">
        <v>1</v>
      </c>
      <c r="E11">
        <v>8.5769434310418405E-2</v>
      </c>
      <c r="F11">
        <v>3.6897246247378601</v>
      </c>
      <c r="G11">
        <v>14.004723248260101</v>
      </c>
      <c r="H11">
        <v>-1.71831102389736</v>
      </c>
      <c r="I11">
        <v>3.9224567107478898</v>
      </c>
      <c r="J11">
        <v>9.1710438812932509</v>
      </c>
      <c r="K11">
        <v>1.14849010295506</v>
      </c>
      <c r="L11">
        <v>4.3527804189227401</v>
      </c>
      <c r="M11">
        <v>11.480436583783099</v>
      </c>
      <c r="N11">
        <v>0.28234645159383098</v>
      </c>
      <c r="O11">
        <v>3.3473945643991501</v>
      </c>
      <c r="P11">
        <v>7.4142031694866501</v>
      </c>
      <c r="Q11">
        <v>-3.0093013933792698</v>
      </c>
      <c r="R11">
        <v>7.1132799367093797</v>
      </c>
      <c r="S11">
        <v>5.9989533208321797</v>
      </c>
      <c r="T11">
        <v>-0.421884530721503</v>
      </c>
      <c r="U11">
        <v>2.4738769510015302</v>
      </c>
      <c r="V11">
        <v>10.731444650050401</v>
      </c>
    </row>
    <row r="12" spans="1:22" x14ac:dyDescent="0.25">
      <c r="A12">
        <v>10</v>
      </c>
      <c r="B12">
        <v>1018</v>
      </c>
      <c r="C12">
        <v>1</v>
      </c>
      <c r="D12">
        <v>1</v>
      </c>
      <c r="E12">
        <v>-5.4205954750167598</v>
      </c>
      <c r="F12">
        <v>16.246869119629199</v>
      </c>
      <c r="G12">
        <v>16.030443431632499</v>
      </c>
      <c r="H12">
        <v>-5.5886512342910297</v>
      </c>
      <c r="I12">
        <v>14.732211080486801</v>
      </c>
      <c r="J12">
        <v>10.279041980567699</v>
      </c>
      <c r="K12">
        <v>1.7838831282183101</v>
      </c>
      <c r="L12">
        <v>4.5346961814444304</v>
      </c>
      <c r="M12">
        <v>10.335535443520399</v>
      </c>
      <c r="N12">
        <v>-0.32306304786981199</v>
      </c>
      <c r="O12">
        <v>7.4007529112151502</v>
      </c>
      <c r="P12">
        <v>8.6438667214764102</v>
      </c>
      <c r="Q12">
        <v>-1.2550699972861401</v>
      </c>
      <c r="R12">
        <v>6.3493488501996502</v>
      </c>
      <c r="S12">
        <v>9.3751800041570998</v>
      </c>
      <c r="T12">
        <v>-3.7870902093904499</v>
      </c>
      <c r="U12">
        <v>8.7886698326907293</v>
      </c>
      <c r="V12">
        <v>8.3197611515101695</v>
      </c>
    </row>
    <row r="13" spans="1:22" x14ac:dyDescent="0.25">
      <c r="A13">
        <v>11</v>
      </c>
      <c r="B13">
        <v>1019</v>
      </c>
      <c r="C13">
        <v>1</v>
      </c>
      <c r="D13">
        <v>1</v>
      </c>
      <c r="E13">
        <v>-6.7859271459253296</v>
      </c>
      <c r="F13">
        <v>12.091364056465901</v>
      </c>
      <c r="G13">
        <v>15.950125238975099</v>
      </c>
      <c r="H13">
        <v>-2.93326025678549</v>
      </c>
      <c r="I13">
        <v>8.1500255023929302</v>
      </c>
      <c r="J13">
        <v>11.1782520031977</v>
      </c>
      <c r="K13">
        <v>1.86667597039717</v>
      </c>
      <c r="L13">
        <v>3.36553286615323</v>
      </c>
      <c r="M13">
        <v>12.0123077556526</v>
      </c>
      <c r="N13">
        <v>-2.7596206157985299</v>
      </c>
      <c r="O13">
        <v>6.5505023016829496</v>
      </c>
      <c r="P13">
        <v>8.8996456229081708</v>
      </c>
      <c r="Q13">
        <v>0.66516772952661796</v>
      </c>
      <c r="R13">
        <v>3.6999164649861598</v>
      </c>
      <c r="S13">
        <v>8.7375869794330701</v>
      </c>
      <c r="T13">
        <v>-1.6309449192666301</v>
      </c>
      <c r="U13">
        <v>6.85792734565036</v>
      </c>
      <c r="V13">
        <v>8.8154597884762307</v>
      </c>
    </row>
    <row r="14" spans="1:22" x14ac:dyDescent="0.25">
      <c r="A14">
        <v>12</v>
      </c>
      <c r="B14">
        <v>1020</v>
      </c>
      <c r="C14">
        <v>1</v>
      </c>
      <c r="D14">
        <v>1</v>
      </c>
      <c r="E14">
        <v>-1.42019846163839</v>
      </c>
      <c r="F14">
        <v>4.7174343831069399</v>
      </c>
      <c r="G14">
        <v>13.004355306242999</v>
      </c>
      <c r="H14">
        <v>1.5174953169301899</v>
      </c>
      <c r="I14">
        <v>6.8654669336767601E-2</v>
      </c>
      <c r="J14">
        <v>23.050785142500899</v>
      </c>
      <c r="K14">
        <v>-1.4808575161531099</v>
      </c>
      <c r="L14">
        <v>4.70672186968073</v>
      </c>
      <c r="M14">
        <v>12.040532205670999</v>
      </c>
      <c r="N14">
        <v>-1.3242143095936101</v>
      </c>
      <c r="O14">
        <v>5.7286640443115999</v>
      </c>
      <c r="P14">
        <v>7.2570272808331104</v>
      </c>
      <c r="Q14">
        <v>-1.76564719708392</v>
      </c>
      <c r="R14">
        <v>4.8163434693535399</v>
      </c>
      <c r="S14">
        <v>16.599147517011399</v>
      </c>
      <c r="T14">
        <v>0.13226652615631401</v>
      </c>
      <c r="U14">
        <v>2.3251381690056401</v>
      </c>
      <c r="V14">
        <v>9.7503517624781999</v>
      </c>
    </row>
    <row r="15" spans="1:22" x14ac:dyDescent="0.25">
      <c r="A15">
        <v>13</v>
      </c>
      <c r="B15">
        <v>1022</v>
      </c>
      <c r="C15">
        <v>1</v>
      </c>
      <c r="D15">
        <v>1</v>
      </c>
      <c r="E15">
        <v>2.5382370759921602</v>
      </c>
      <c r="F15">
        <v>-0.71981205565052198</v>
      </c>
      <c r="G15">
        <v>16.788937535568898</v>
      </c>
      <c r="H15">
        <v>-5.27113750314789</v>
      </c>
      <c r="I15">
        <v>7.87928308907125</v>
      </c>
      <c r="J15">
        <v>16.643524230392</v>
      </c>
      <c r="K15">
        <v>-1.58556859102911</v>
      </c>
      <c r="L15">
        <v>3.6459654732479501</v>
      </c>
      <c r="M15">
        <v>13.058913083764899</v>
      </c>
      <c r="N15">
        <v>0.13832189967574099</v>
      </c>
      <c r="O15">
        <v>2.7358544762519301</v>
      </c>
      <c r="P15">
        <v>9.9404830990155801</v>
      </c>
      <c r="Q15">
        <v>-3.39523926547351</v>
      </c>
      <c r="R15">
        <v>4.6765157171474403</v>
      </c>
      <c r="S15">
        <v>14.4591207042428</v>
      </c>
      <c r="T15">
        <v>-0.57723048202500504</v>
      </c>
      <c r="U15">
        <v>2.0699894689802698</v>
      </c>
      <c r="V15">
        <v>11.336869495933399</v>
      </c>
    </row>
    <row r="16" spans="1:22" x14ac:dyDescent="0.25">
      <c r="A16">
        <v>14</v>
      </c>
      <c r="B16">
        <v>1024</v>
      </c>
      <c r="C16">
        <v>1</v>
      </c>
      <c r="D16">
        <v>1</v>
      </c>
      <c r="E16">
        <v>-5.16796639741065</v>
      </c>
      <c r="F16">
        <v>11.402667568659201</v>
      </c>
      <c r="G16">
        <v>14.976637119451301</v>
      </c>
      <c r="H16">
        <v>-0.21247896297998201</v>
      </c>
      <c r="I16">
        <v>4.3418880886583002</v>
      </c>
      <c r="J16">
        <v>20.7494595421471</v>
      </c>
      <c r="K16">
        <v>-0.38676590811470801</v>
      </c>
      <c r="L16">
        <v>4.7419351494599304</v>
      </c>
      <c r="M16">
        <v>14.227839219271701</v>
      </c>
      <c r="N16">
        <v>-5.2961369132068796</v>
      </c>
      <c r="O16">
        <v>10.474559675909401</v>
      </c>
      <c r="P16">
        <v>10.1223307888921</v>
      </c>
      <c r="Q16">
        <v>-0.60150652028635898</v>
      </c>
      <c r="R16">
        <v>5.5181284986790997</v>
      </c>
      <c r="S16">
        <v>15.929465639952699</v>
      </c>
      <c r="T16">
        <v>-1.9545619613945899</v>
      </c>
      <c r="U16">
        <v>5.79836304412731</v>
      </c>
      <c r="V16">
        <v>11.526466476070301</v>
      </c>
    </row>
    <row r="17" spans="1:22" x14ac:dyDescent="0.25">
      <c r="A17">
        <v>15</v>
      </c>
      <c r="B17">
        <v>1026</v>
      </c>
      <c r="C17">
        <v>1</v>
      </c>
      <c r="D17">
        <v>1</v>
      </c>
      <c r="E17">
        <v>-0.64726203368450996</v>
      </c>
      <c r="F17">
        <v>1.55626142632395</v>
      </c>
      <c r="G17">
        <v>15.3237548776951</v>
      </c>
      <c r="H17">
        <v>-2.5120108523670801</v>
      </c>
      <c r="I17">
        <v>9.0908811422657507</v>
      </c>
      <c r="J17">
        <v>16.491513542061099</v>
      </c>
      <c r="K17">
        <v>0.76903876857812403</v>
      </c>
      <c r="L17">
        <v>3.0706349755788498</v>
      </c>
      <c r="M17">
        <v>9.2866659121331008</v>
      </c>
      <c r="N17">
        <v>0.14237986740919201</v>
      </c>
      <c r="O17">
        <v>1.2632920852834499</v>
      </c>
      <c r="P17">
        <v>10.7045682487379</v>
      </c>
      <c r="Q17">
        <v>-2.9130645538312798</v>
      </c>
      <c r="R17">
        <v>7.4934861709798204</v>
      </c>
      <c r="S17">
        <v>13.5540877670858</v>
      </c>
      <c r="T17">
        <v>-0.29986043714852101</v>
      </c>
      <c r="U17">
        <v>3.5537774191624498</v>
      </c>
      <c r="V17">
        <v>8.0425872754753094</v>
      </c>
    </row>
    <row r="18" spans="1:22" x14ac:dyDescent="0.25">
      <c r="A18">
        <v>16</v>
      </c>
      <c r="B18">
        <v>1027</v>
      </c>
      <c r="C18">
        <v>1</v>
      </c>
      <c r="D18">
        <v>1</v>
      </c>
      <c r="E18">
        <v>1.006314935971</v>
      </c>
      <c r="F18">
        <v>5.5361313358392499</v>
      </c>
      <c r="G18">
        <v>20.114826552654101</v>
      </c>
      <c r="H18">
        <v>-3.9332050284674298</v>
      </c>
      <c r="I18">
        <v>8.9587215448609605</v>
      </c>
      <c r="J18">
        <v>20.139194989646899</v>
      </c>
      <c r="K18">
        <v>2.3365306947982698</v>
      </c>
      <c r="L18">
        <v>1.1725040039927701</v>
      </c>
      <c r="M18">
        <v>10.3937784163645</v>
      </c>
      <c r="N18">
        <v>-1.8267346577694099</v>
      </c>
      <c r="O18">
        <v>5.49138111842539</v>
      </c>
      <c r="P18">
        <v>9.9126497972501895</v>
      </c>
      <c r="Q18">
        <v>1.3929392363442099</v>
      </c>
      <c r="R18">
        <v>1.4707084337619301</v>
      </c>
      <c r="S18">
        <v>15.519324397854801</v>
      </c>
      <c r="T18">
        <v>-3.6236106719022103E-2</v>
      </c>
      <c r="U18">
        <v>3.0489903689399598</v>
      </c>
      <c r="V18">
        <v>8.9388194403246306</v>
      </c>
    </row>
    <row r="19" spans="1:22" x14ac:dyDescent="0.25">
      <c r="A19">
        <v>17</v>
      </c>
      <c r="B19">
        <v>1029</v>
      </c>
      <c r="C19">
        <v>1</v>
      </c>
      <c r="D19">
        <v>1</v>
      </c>
      <c r="E19">
        <v>-2.89929909824115</v>
      </c>
      <c r="F19">
        <v>8.4296424783555395</v>
      </c>
      <c r="G19">
        <v>16.4532859257917</v>
      </c>
      <c r="H19">
        <v>0.57379670742786004</v>
      </c>
      <c r="I19">
        <v>9.1720738202271904E-2</v>
      </c>
      <c r="J19">
        <v>9.7365507867885608</v>
      </c>
      <c r="K19">
        <v>0.33508365286207498</v>
      </c>
      <c r="L19">
        <v>9.4317265729545205</v>
      </c>
      <c r="M19">
        <v>10.338071454493999</v>
      </c>
      <c r="N19">
        <v>-2.3341894718059502</v>
      </c>
      <c r="O19">
        <v>4.7781369230796598</v>
      </c>
      <c r="P19">
        <v>11.9175317864504</v>
      </c>
      <c r="Q19">
        <v>0.39289738940734498</v>
      </c>
      <c r="R19">
        <v>2.5009644809455698</v>
      </c>
      <c r="S19">
        <v>6.8866468224086104</v>
      </c>
      <c r="T19">
        <v>-3.92835685055773</v>
      </c>
      <c r="U19">
        <v>12.002747623929301</v>
      </c>
      <c r="V19">
        <v>9.8872475289077393</v>
      </c>
    </row>
    <row r="20" spans="1:22" x14ac:dyDescent="0.25">
      <c r="A20">
        <v>18</v>
      </c>
      <c r="B20">
        <v>1030</v>
      </c>
      <c r="C20">
        <v>1</v>
      </c>
      <c r="D20">
        <v>1</v>
      </c>
      <c r="E20">
        <v>-2.2221122437582101</v>
      </c>
      <c r="F20">
        <v>7.8348037691950099</v>
      </c>
      <c r="G20">
        <v>14.8065337368239</v>
      </c>
      <c r="H20">
        <v>-0.74977078293051203</v>
      </c>
      <c r="I20">
        <v>4.8562093222184703</v>
      </c>
      <c r="J20">
        <v>9.1001314160426396</v>
      </c>
      <c r="K20">
        <v>1.5713138937762601</v>
      </c>
      <c r="L20">
        <v>4.4074381866472496</v>
      </c>
      <c r="M20">
        <v>9.2869560751394609</v>
      </c>
      <c r="N20">
        <v>-2.4663886310496799</v>
      </c>
      <c r="O20">
        <v>7.1132169656872</v>
      </c>
      <c r="P20">
        <v>8.4304868650632194</v>
      </c>
      <c r="Q20">
        <v>-0.87843566829037401</v>
      </c>
      <c r="R20">
        <v>5.8116563155195697</v>
      </c>
      <c r="S20">
        <v>6.9131548652760904</v>
      </c>
      <c r="T20">
        <v>-1.18837842044618</v>
      </c>
      <c r="U20">
        <v>5.8818919032774604</v>
      </c>
      <c r="V20">
        <v>7.55315958857142</v>
      </c>
    </row>
    <row r="21" spans="1:22" x14ac:dyDescent="0.25">
      <c r="A21">
        <v>19</v>
      </c>
      <c r="B21">
        <v>1031</v>
      </c>
      <c r="C21">
        <v>1</v>
      </c>
      <c r="D21">
        <v>1</v>
      </c>
      <c r="E21">
        <v>-7.5095746596674502</v>
      </c>
      <c r="F21">
        <v>12.297698736014301</v>
      </c>
      <c r="G21">
        <v>13.4390130535515</v>
      </c>
      <c r="H21">
        <v>2.8015258654863699</v>
      </c>
      <c r="I21">
        <v>-7.7829325225408699</v>
      </c>
      <c r="J21">
        <v>16.9221017035713</v>
      </c>
      <c r="K21">
        <v>0.93943858760425203</v>
      </c>
      <c r="L21">
        <v>2.7607204600678998</v>
      </c>
      <c r="M21">
        <v>9.3281829451455902</v>
      </c>
      <c r="N21">
        <v>-3.9587644904445098</v>
      </c>
      <c r="O21">
        <v>9.0570244995585707</v>
      </c>
      <c r="P21">
        <v>7.8097681496685203</v>
      </c>
      <c r="Q21">
        <v>2.0571309003501601</v>
      </c>
      <c r="R21">
        <v>-4.5289549265498099</v>
      </c>
      <c r="S21">
        <v>12.873582594111999</v>
      </c>
      <c r="T21">
        <v>-2.1848868338343199</v>
      </c>
      <c r="U21">
        <v>6.0826584337419298</v>
      </c>
      <c r="V21">
        <v>8.3990880309557596</v>
      </c>
    </row>
    <row r="22" spans="1:22" x14ac:dyDescent="0.25">
      <c r="A22">
        <v>20</v>
      </c>
      <c r="B22">
        <v>1032</v>
      </c>
      <c r="C22">
        <v>1</v>
      </c>
      <c r="D22">
        <v>1</v>
      </c>
      <c r="E22">
        <v>-0.82888033522960503</v>
      </c>
      <c r="F22">
        <v>3.48240683463204</v>
      </c>
      <c r="G22">
        <v>12.710404380386001</v>
      </c>
      <c r="H22">
        <v>0.56371489896325</v>
      </c>
      <c r="I22">
        <v>0.95469248053383804</v>
      </c>
      <c r="J22">
        <v>9.7145793219575491</v>
      </c>
      <c r="K22">
        <v>-1.73913556162101</v>
      </c>
      <c r="L22">
        <v>8.5886329018574692</v>
      </c>
      <c r="M22">
        <v>8.15115519685164</v>
      </c>
      <c r="N22">
        <v>-1.3239876780024999</v>
      </c>
      <c r="O22">
        <v>5.4218820086581898</v>
      </c>
      <c r="P22">
        <v>7.9128128184117701</v>
      </c>
      <c r="Q22">
        <v>0.453934158965419</v>
      </c>
      <c r="R22">
        <v>1.6077397499949899</v>
      </c>
      <c r="S22">
        <v>7.88655232010173</v>
      </c>
      <c r="T22">
        <v>-3.1202846551796499</v>
      </c>
      <c r="U22">
        <v>8.8231897990523507</v>
      </c>
      <c r="V22">
        <v>8.8669027922961394</v>
      </c>
    </row>
    <row r="23" spans="1:22" x14ac:dyDescent="0.25">
      <c r="A23">
        <v>21</v>
      </c>
      <c r="B23">
        <v>1033</v>
      </c>
      <c r="C23">
        <v>1</v>
      </c>
      <c r="D23">
        <v>1</v>
      </c>
      <c r="E23">
        <v>-4.6300563462564801</v>
      </c>
      <c r="F23">
        <v>10.0964095235228</v>
      </c>
      <c r="G23">
        <v>11.7479629778926</v>
      </c>
      <c r="H23">
        <v>1.01683957776458</v>
      </c>
      <c r="I23">
        <v>2.1319384810608302</v>
      </c>
      <c r="J23">
        <v>11.2506101175297</v>
      </c>
      <c r="K23">
        <v>-0.59342406538378301</v>
      </c>
      <c r="L23">
        <v>7.7910286890873399</v>
      </c>
      <c r="M23">
        <v>15.0501864061738</v>
      </c>
      <c r="N23">
        <v>-2.7920307894163501</v>
      </c>
      <c r="O23">
        <v>6.7539575400553398</v>
      </c>
      <c r="P23">
        <v>8.2918968541629994</v>
      </c>
      <c r="Q23">
        <v>3.6035622534451002</v>
      </c>
      <c r="R23">
        <v>-1.61831302466712</v>
      </c>
      <c r="S23">
        <v>11.206994644796399</v>
      </c>
      <c r="T23">
        <v>-4.3489242985594601</v>
      </c>
      <c r="U23">
        <v>10.6430384500239</v>
      </c>
      <c r="V23">
        <v>11.290738549055799</v>
      </c>
    </row>
    <row r="24" spans="1:22" x14ac:dyDescent="0.25">
      <c r="A24">
        <v>22</v>
      </c>
      <c r="B24">
        <v>1034</v>
      </c>
      <c r="C24">
        <v>1</v>
      </c>
      <c r="D24">
        <v>1</v>
      </c>
      <c r="E24">
        <v>5.4570353068367696</v>
      </c>
      <c r="F24">
        <v>-5.8326152592731697</v>
      </c>
      <c r="G24">
        <v>16.996047369786901</v>
      </c>
      <c r="H24">
        <v>6.6225881878871498</v>
      </c>
      <c r="I24">
        <v>-7.11336969213116</v>
      </c>
      <c r="J24">
        <v>9.83461461654678</v>
      </c>
      <c r="K24">
        <v>0.76303115054317805</v>
      </c>
      <c r="L24">
        <v>4.0395654232960396</v>
      </c>
      <c r="M24">
        <v>17.804825416583501</v>
      </c>
      <c r="N24">
        <v>1.48450200013005</v>
      </c>
      <c r="O24">
        <v>0.26088825513463099</v>
      </c>
      <c r="P24">
        <v>12.4658342736217</v>
      </c>
      <c r="Q24">
        <v>2.4143488314043799</v>
      </c>
      <c r="R24">
        <v>-1.80778925692695</v>
      </c>
      <c r="S24">
        <v>10.7407875620616</v>
      </c>
      <c r="T24">
        <v>0.96204479940473397</v>
      </c>
      <c r="U24">
        <v>-0.61446453368832499</v>
      </c>
      <c r="V24">
        <v>15.676227842202101</v>
      </c>
    </row>
    <row r="25" spans="1:22" x14ac:dyDescent="0.25">
      <c r="A25">
        <v>23</v>
      </c>
      <c r="B25">
        <v>1035</v>
      </c>
      <c r="C25">
        <v>1</v>
      </c>
      <c r="D25">
        <v>1</v>
      </c>
      <c r="E25">
        <v>-2.0890047818161999</v>
      </c>
      <c r="F25">
        <v>9.9283140705299395</v>
      </c>
      <c r="G25">
        <v>15.2854568032675</v>
      </c>
      <c r="H25">
        <v>8.2314310285446393</v>
      </c>
      <c r="I25">
        <v>-9.4941462797207894</v>
      </c>
      <c r="J25">
        <v>18.018728695683301</v>
      </c>
      <c r="K25">
        <v>3.2518233599957398</v>
      </c>
      <c r="L25">
        <v>-1.9199850112426</v>
      </c>
      <c r="M25">
        <v>9.4318732690834892</v>
      </c>
      <c r="N25">
        <v>-3.0429123385284398</v>
      </c>
      <c r="O25">
        <v>9.5051357921046602</v>
      </c>
      <c r="P25">
        <v>9.1976898194752401</v>
      </c>
      <c r="Q25">
        <v>2.7301855117826199</v>
      </c>
      <c r="R25">
        <v>-3.4936362683379198</v>
      </c>
      <c r="S25">
        <v>14.274312868165399</v>
      </c>
      <c r="T25">
        <v>-2.03812465924049</v>
      </c>
      <c r="U25">
        <v>4.2922350755072802</v>
      </c>
      <c r="V25">
        <v>9.3060527183699602</v>
      </c>
    </row>
    <row r="26" spans="1:22" x14ac:dyDescent="0.25">
      <c r="A26">
        <v>24</v>
      </c>
      <c r="B26">
        <v>1036</v>
      </c>
      <c r="C26">
        <v>1</v>
      </c>
      <c r="D26">
        <v>1</v>
      </c>
      <c r="E26">
        <v>-4.4466552406875302</v>
      </c>
      <c r="F26">
        <v>9.2976890892508699</v>
      </c>
      <c r="G26">
        <v>13.6759225161302</v>
      </c>
      <c r="H26">
        <v>-0.54169794530728599</v>
      </c>
      <c r="I26">
        <v>3.1422505180387801</v>
      </c>
      <c r="J26">
        <v>11.127915452407001</v>
      </c>
      <c r="K26">
        <v>1.4111128802603801</v>
      </c>
      <c r="L26">
        <v>3.4745809907260901</v>
      </c>
      <c r="M26">
        <v>7.2844927107517803</v>
      </c>
      <c r="N26">
        <v>0.24469921540210701</v>
      </c>
      <c r="O26">
        <v>3.3987840243765501</v>
      </c>
      <c r="P26">
        <v>8.1198499498440793</v>
      </c>
      <c r="Q26">
        <v>2.1450999559797501</v>
      </c>
      <c r="R26">
        <v>-0.82941221788126396</v>
      </c>
      <c r="S26">
        <v>8.5083102086176208</v>
      </c>
      <c r="T26">
        <v>-0.59182956710826096</v>
      </c>
      <c r="U26">
        <v>3.7431202953284202</v>
      </c>
      <c r="V26">
        <v>7.4712811356803996</v>
      </c>
    </row>
    <row r="27" spans="1:22" x14ac:dyDescent="0.25">
      <c r="A27">
        <v>25</v>
      </c>
      <c r="B27">
        <v>1037</v>
      </c>
      <c r="C27">
        <v>1</v>
      </c>
      <c r="D27">
        <v>1</v>
      </c>
      <c r="E27">
        <v>2.2935270466649298</v>
      </c>
      <c r="F27">
        <v>2.2438772816827801</v>
      </c>
      <c r="G27">
        <v>11.4821380285735</v>
      </c>
      <c r="H27">
        <v>-3.1434575632283202</v>
      </c>
      <c r="I27">
        <v>8.66389898439202</v>
      </c>
      <c r="J27">
        <v>24.561544465882498</v>
      </c>
      <c r="K27">
        <v>0.94243032149963402</v>
      </c>
      <c r="L27">
        <v>5.4939262222857703</v>
      </c>
      <c r="M27">
        <v>9.6382389471654903</v>
      </c>
      <c r="N27">
        <v>1.29649075569591</v>
      </c>
      <c r="O27">
        <v>3.0039983831975001</v>
      </c>
      <c r="P27">
        <v>6.99997401723562</v>
      </c>
      <c r="Q27">
        <v>1.87003035647085</v>
      </c>
      <c r="R27">
        <v>1.6246699507068501</v>
      </c>
      <c r="S27">
        <v>18.412032868269399</v>
      </c>
      <c r="T27">
        <v>2.5756075494205501</v>
      </c>
      <c r="U27">
        <v>-0.56693320065665898</v>
      </c>
      <c r="V27">
        <v>9.3055442896647609</v>
      </c>
    </row>
    <row r="28" spans="1:22" x14ac:dyDescent="0.25">
      <c r="A28">
        <v>26</v>
      </c>
      <c r="B28">
        <v>1038</v>
      </c>
      <c r="C28">
        <v>1</v>
      </c>
      <c r="D28">
        <v>1</v>
      </c>
      <c r="E28">
        <v>-0.25832390835591101</v>
      </c>
      <c r="F28">
        <v>2.7623054057714</v>
      </c>
      <c r="G28">
        <v>11.9729597242714</v>
      </c>
      <c r="H28">
        <v>1.6916461784271899</v>
      </c>
      <c r="I28">
        <v>0.111312723023478</v>
      </c>
      <c r="J28">
        <v>6.0159194103079798</v>
      </c>
      <c r="K28">
        <v>0.45896507055065999</v>
      </c>
      <c r="L28">
        <v>2.23909475200779</v>
      </c>
      <c r="M28">
        <v>12.0239243524838</v>
      </c>
      <c r="N28">
        <v>1.2502561341837199</v>
      </c>
      <c r="O28">
        <v>1.62143219060388</v>
      </c>
      <c r="P28">
        <v>7.7444998495481103</v>
      </c>
      <c r="Q28">
        <v>2.6066372071538102</v>
      </c>
      <c r="R28">
        <v>-0.81278115806176099</v>
      </c>
      <c r="S28">
        <v>6.3816008670561599</v>
      </c>
      <c r="T28">
        <v>1.12852033666285</v>
      </c>
      <c r="U28">
        <v>2.4807001644509699</v>
      </c>
      <c r="V28">
        <v>9.4040043357754097</v>
      </c>
    </row>
    <row r="29" spans="1:22" x14ac:dyDescent="0.25">
      <c r="A29">
        <v>27</v>
      </c>
      <c r="B29">
        <v>1039</v>
      </c>
      <c r="C29">
        <v>1</v>
      </c>
      <c r="D29">
        <v>1</v>
      </c>
      <c r="E29">
        <v>-0.14942902099876601</v>
      </c>
      <c r="F29">
        <v>7.6165975213081003</v>
      </c>
      <c r="G29">
        <v>13.8569148396993</v>
      </c>
      <c r="H29">
        <v>-1.6296354061046301</v>
      </c>
      <c r="I29">
        <v>5.14864664705728</v>
      </c>
      <c r="J29">
        <v>10.728890122542101</v>
      </c>
      <c r="K29">
        <v>0.22393627063048699</v>
      </c>
      <c r="L29">
        <v>7.0808054385640098</v>
      </c>
      <c r="M29">
        <v>7.5672403764086296</v>
      </c>
      <c r="N29">
        <v>-0.88715424743447002</v>
      </c>
      <c r="O29">
        <v>7.6694427413873401</v>
      </c>
      <c r="P29">
        <v>7.8935026180507899</v>
      </c>
      <c r="Q29">
        <v>-2.4242956061031999</v>
      </c>
      <c r="R29">
        <v>7.2336935184585798</v>
      </c>
      <c r="S29">
        <v>8.3639097346797406</v>
      </c>
      <c r="T29">
        <v>-0.69727677246825803</v>
      </c>
      <c r="U29">
        <v>4.9259913084719598</v>
      </c>
      <c r="V29">
        <v>7.8791753079168103</v>
      </c>
    </row>
    <row r="30" spans="1:22" x14ac:dyDescent="0.25">
      <c r="A30">
        <v>28</v>
      </c>
      <c r="B30">
        <v>1041</v>
      </c>
      <c r="C30">
        <v>1</v>
      </c>
      <c r="D30">
        <v>1</v>
      </c>
      <c r="E30">
        <v>4.2236375226354896</v>
      </c>
      <c r="F30">
        <v>-5.1893383517228999</v>
      </c>
      <c r="G30">
        <v>18.981277280324299</v>
      </c>
      <c r="H30">
        <v>9.00221808016396</v>
      </c>
      <c r="I30">
        <v>-18.465807216611001</v>
      </c>
      <c r="J30">
        <v>18.208835837439398</v>
      </c>
      <c r="K30">
        <v>-3.3048074060621202</v>
      </c>
      <c r="L30">
        <v>9.7023344872175503</v>
      </c>
      <c r="M30">
        <v>8.6407020949069899</v>
      </c>
      <c r="N30">
        <v>4.2060321644047001</v>
      </c>
      <c r="O30">
        <v>-5.1561508617582597</v>
      </c>
      <c r="P30">
        <v>12.654507599015799</v>
      </c>
      <c r="Q30">
        <v>6.6747181664879101</v>
      </c>
      <c r="R30">
        <v>-11.830850555476101</v>
      </c>
      <c r="S30">
        <v>12.680838364582399</v>
      </c>
      <c r="T30">
        <v>0.160441388881323</v>
      </c>
      <c r="U30">
        <v>0.44236672834983398</v>
      </c>
      <c r="V30">
        <v>11.1850142671684</v>
      </c>
    </row>
    <row r="31" spans="1:22" x14ac:dyDescent="0.25">
      <c r="A31">
        <v>29</v>
      </c>
      <c r="B31">
        <v>1042</v>
      </c>
      <c r="C31">
        <v>1</v>
      </c>
      <c r="D31">
        <v>1</v>
      </c>
      <c r="E31">
        <v>-1.08525927795428</v>
      </c>
      <c r="F31">
        <v>4.5110143746226399</v>
      </c>
      <c r="G31">
        <v>15.460771816126901</v>
      </c>
      <c r="H31">
        <v>1.9407107037151601</v>
      </c>
      <c r="I31">
        <v>-4.7867423322230797E-2</v>
      </c>
      <c r="J31">
        <v>12.006827430331199</v>
      </c>
      <c r="K31">
        <v>0.16197990990421701</v>
      </c>
      <c r="L31">
        <v>3.6769973967694098</v>
      </c>
      <c r="M31">
        <v>11.079105754373201</v>
      </c>
      <c r="N31">
        <v>-1.6383874335534501</v>
      </c>
      <c r="O31">
        <v>3.4627853934530202</v>
      </c>
      <c r="P31">
        <v>9.7053234294573993</v>
      </c>
      <c r="Q31">
        <v>2.85809978391746</v>
      </c>
      <c r="R31">
        <v>-5.2945167489919301E-2</v>
      </c>
      <c r="S31">
        <v>9.0295586823597294</v>
      </c>
      <c r="T31">
        <v>1.54694685115469</v>
      </c>
      <c r="U31">
        <v>-0.97584508362904898</v>
      </c>
      <c r="V31">
        <v>9.9353151293340893</v>
      </c>
    </row>
    <row r="32" spans="1:22" x14ac:dyDescent="0.25">
      <c r="A32">
        <v>30</v>
      </c>
      <c r="B32">
        <v>1045</v>
      </c>
      <c r="C32">
        <v>1</v>
      </c>
      <c r="D32">
        <v>1</v>
      </c>
      <c r="E32">
        <v>-0.57572318542434897</v>
      </c>
      <c r="F32">
        <v>1.72401740781993</v>
      </c>
      <c r="G32">
        <v>20.174658790087999</v>
      </c>
      <c r="H32">
        <v>1.09182693348096</v>
      </c>
      <c r="I32">
        <v>-0.14462404190102501</v>
      </c>
      <c r="J32">
        <v>11.8862294530271</v>
      </c>
      <c r="K32">
        <v>4.8625635065374198</v>
      </c>
      <c r="L32">
        <v>-0.40345177572054602</v>
      </c>
      <c r="M32">
        <v>11.101815653959999</v>
      </c>
      <c r="N32">
        <v>-0.72515441904693301</v>
      </c>
      <c r="O32">
        <v>2.4224250397123401</v>
      </c>
      <c r="P32">
        <v>11.461069134073499</v>
      </c>
      <c r="Q32">
        <v>1.6690488415965601</v>
      </c>
      <c r="R32">
        <v>7.9614334494702496E-2</v>
      </c>
      <c r="S32">
        <v>8.5257521752887104</v>
      </c>
      <c r="T32">
        <v>1.8515943603670699</v>
      </c>
      <c r="U32">
        <v>3.4036329789907498E-2</v>
      </c>
      <c r="V32">
        <v>11.1782330357194</v>
      </c>
    </row>
    <row r="33" spans="1:22" x14ac:dyDescent="0.25">
      <c r="A33">
        <v>31</v>
      </c>
      <c r="B33">
        <v>1047</v>
      </c>
      <c r="C33">
        <v>1</v>
      </c>
      <c r="D33">
        <v>1</v>
      </c>
      <c r="E33">
        <v>4.0142026254041898</v>
      </c>
      <c r="F33">
        <v>-2.5787964818212301</v>
      </c>
      <c r="G33">
        <v>15.550019842011899</v>
      </c>
      <c r="H33">
        <v>-14.283827548961</v>
      </c>
      <c r="I33">
        <v>29.0568063413624</v>
      </c>
      <c r="J33">
        <v>16.0119605133867</v>
      </c>
      <c r="K33">
        <v>0.43678844890347301</v>
      </c>
      <c r="L33">
        <v>5.5372981646033397</v>
      </c>
      <c r="M33">
        <v>8.1652936225574297</v>
      </c>
      <c r="N33">
        <v>-7.9038078332227493E-2</v>
      </c>
      <c r="O33">
        <v>3.0943409006893399</v>
      </c>
      <c r="P33">
        <v>7.7270317765960801</v>
      </c>
      <c r="Q33">
        <v>-9.5440141917019492</v>
      </c>
      <c r="R33">
        <v>20.591824543259001</v>
      </c>
      <c r="S33">
        <v>14.6656297212302</v>
      </c>
      <c r="T33">
        <v>0.46744947833914802</v>
      </c>
      <c r="U33">
        <v>2.6806910305576501</v>
      </c>
      <c r="V33">
        <v>7.3193561374465501</v>
      </c>
    </row>
    <row r="34" spans="1:22" x14ac:dyDescent="0.25">
      <c r="A34">
        <v>32</v>
      </c>
      <c r="B34">
        <v>1048</v>
      </c>
      <c r="C34">
        <v>1</v>
      </c>
      <c r="D34">
        <v>1</v>
      </c>
      <c r="E34">
        <v>0.93605341372012896</v>
      </c>
      <c r="F34">
        <v>2.3203133969123502</v>
      </c>
      <c r="G34">
        <v>16.123636577469799</v>
      </c>
      <c r="H34">
        <v>-0.60948225552967705</v>
      </c>
      <c r="I34">
        <v>3.2027869466424499</v>
      </c>
      <c r="J34">
        <v>18.215280257453799</v>
      </c>
      <c r="K34">
        <v>-0.48800629074173801</v>
      </c>
      <c r="L34">
        <v>5.3183943093941899</v>
      </c>
      <c r="M34">
        <v>9.0228500876058693</v>
      </c>
      <c r="N34">
        <v>2.6216196925573199</v>
      </c>
      <c r="O34">
        <v>-1.5019269258043499</v>
      </c>
      <c r="P34">
        <v>11.4670963162181</v>
      </c>
      <c r="Q34">
        <v>0.74983319783250202</v>
      </c>
      <c r="R34">
        <v>0.96828469704021003</v>
      </c>
      <c r="S34">
        <v>14.1535120606519</v>
      </c>
      <c r="T34">
        <v>-0.52392622220054696</v>
      </c>
      <c r="U34">
        <v>5.3039150566144899</v>
      </c>
      <c r="V34">
        <v>8.7603985571955096</v>
      </c>
    </row>
    <row r="35" spans="1:22" x14ac:dyDescent="0.25">
      <c r="A35">
        <v>33</v>
      </c>
      <c r="B35">
        <v>2002</v>
      </c>
      <c r="C35">
        <v>2</v>
      </c>
      <c r="D35">
        <v>2</v>
      </c>
      <c r="E35">
        <v>6.0018862625717997</v>
      </c>
      <c r="F35">
        <v>-4.4162824529327098</v>
      </c>
      <c r="G35">
        <v>21.167739699010099</v>
      </c>
      <c r="H35">
        <v>-2.8046232979721699</v>
      </c>
      <c r="I35">
        <v>10.745911130479699</v>
      </c>
      <c r="J35">
        <v>10.3806533650988</v>
      </c>
      <c r="K35">
        <v>2.0118975933424998</v>
      </c>
      <c r="L35">
        <v>2.3952373614039999</v>
      </c>
      <c r="M35">
        <v>9.0341153353265895</v>
      </c>
      <c r="N35">
        <v>3.4028813382356899</v>
      </c>
      <c r="O35">
        <v>-2.1835081527086402</v>
      </c>
      <c r="P35">
        <v>12.0790519273187</v>
      </c>
      <c r="Q35">
        <v>-2.9629613057628701</v>
      </c>
      <c r="R35">
        <v>10.919037921503699</v>
      </c>
      <c r="S35">
        <v>7.8702912021384899</v>
      </c>
      <c r="T35">
        <v>0.22190596067394799</v>
      </c>
      <c r="U35">
        <v>2.6088744858337201</v>
      </c>
      <c r="V35">
        <v>7.8820185865291101</v>
      </c>
    </row>
    <row r="36" spans="1:22" x14ac:dyDescent="0.25">
      <c r="A36">
        <v>34</v>
      </c>
      <c r="B36">
        <v>2007</v>
      </c>
      <c r="C36">
        <v>2</v>
      </c>
      <c r="D36">
        <v>2</v>
      </c>
      <c r="E36">
        <v>1.17184569763201</v>
      </c>
      <c r="F36">
        <v>-2.92370366665003</v>
      </c>
      <c r="G36">
        <v>23.494952138871302</v>
      </c>
      <c r="H36">
        <v>0.17642915099447801</v>
      </c>
      <c r="I36">
        <v>0.64835224853050999</v>
      </c>
      <c r="J36">
        <v>10.984760823586599</v>
      </c>
      <c r="K36">
        <v>2.2476275031048898</v>
      </c>
      <c r="L36">
        <v>3.0494473943617799</v>
      </c>
      <c r="M36">
        <v>8.3429750986339695</v>
      </c>
      <c r="N36">
        <v>-2.72465558350572</v>
      </c>
      <c r="O36">
        <v>4.5290284096522004</v>
      </c>
      <c r="P36">
        <v>11.9713089080249</v>
      </c>
      <c r="Q36">
        <v>5.8448918577995702E-2</v>
      </c>
      <c r="R36">
        <v>2.2014183177991402</v>
      </c>
      <c r="S36">
        <v>7.8249335328727101</v>
      </c>
      <c r="T36">
        <v>-3.07298348590394</v>
      </c>
      <c r="U36">
        <v>8.8606318204713101</v>
      </c>
      <c r="V36">
        <v>8.3143208863021805</v>
      </c>
    </row>
    <row r="37" spans="1:22" x14ac:dyDescent="0.25">
      <c r="A37">
        <v>35</v>
      </c>
      <c r="B37">
        <v>2008</v>
      </c>
      <c r="C37">
        <v>2</v>
      </c>
      <c r="D37">
        <v>2</v>
      </c>
      <c r="E37">
        <v>2.48193830909414</v>
      </c>
      <c r="F37">
        <v>6.98060287798757</v>
      </c>
      <c r="G37">
        <v>23.414114194309001</v>
      </c>
      <c r="H37">
        <v>-1.0062031379023499</v>
      </c>
      <c r="I37">
        <v>8.0107699824915404</v>
      </c>
      <c r="J37">
        <v>12.309392045292901</v>
      </c>
      <c r="K37">
        <v>-6.44271767223157</v>
      </c>
      <c r="L37">
        <v>14.5025666776893</v>
      </c>
      <c r="M37">
        <v>17.3995016943664</v>
      </c>
      <c r="N37">
        <v>-1.554781421583</v>
      </c>
      <c r="O37">
        <v>8.9389965241658498</v>
      </c>
      <c r="P37">
        <v>12.9548226499818</v>
      </c>
      <c r="Q37">
        <v>2.9363644969205902</v>
      </c>
      <c r="R37">
        <v>0.91851550550990901</v>
      </c>
      <c r="S37">
        <v>7.9536745744244204</v>
      </c>
      <c r="T37">
        <v>-1.9676516295686</v>
      </c>
      <c r="U37">
        <v>5.4316794055938002</v>
      </c>
      <c r="V37">
        <v>15.6982483509722</v>
      </c>
    </row>
    <row r="38" spans="1:22" x14ac:dyDescent="0.25">
      <c r="A38">
        <v>36</v>
      </c>
      <c r="B38">
        <v>2013</v>
      </c>
      <c r="C38">
        <v>2</v>
      </c>
      <c r="D38">
        <v>2</v>
      </c>
      <c r="E38">
        <v>-1.2911090740631701</v>
      </c>
      <c r="F38">
        <v>3.1240887002270998</v>
      </c>
      <c r="G38">
        <v>30.130832639697601</v>
      </c>
      <c r="H38">
        <v>5.4850351926753396</v>
      </c>
      <c r="I38">
        <v>-4.2967665314390802</v>
      </c>
      <c r="J38">
        <v>14.422829379664201</v>
      </c>
      <c r="K38">
        <v>-5.66533651988017</v>
      </c>
      <c r="L38">
        <v>13.8823054861037</v>
      </c>
      <c r="M38">
        <v>10.200493671134399</v>
      </c>
      <c r="N38">
        <v>1.55592018649899</v>
      </c>
      <c r="O38">
        <v>-2.0967299910299801</v>
      </c>
      <c r="P38">
        <v>17.475968402621199</v>
      </c>
      <c r="Q38">
        <v>1.7945904317730501</v>
      </c>
      <c r="R38">
        <v>0.54766676244882395</v>
      </c>
      <c r="S38">
        <v>10.337244310399401</v>
      </c>
      <c r="T38">
        <v>-4.8795434097034098</v>
      </c>
      <c r="U38">
        <v>10.8965607570568</v>
      </c>
      <c r="V38">
        <v>8.8437769920592295</v>
      </c>
    </row>
    <row r="39" spans="1:22" x14ac:dyDescent="0.25">
      <c r="A39">
        <v>37</v>
      </c>
      <c r="B39">
        <v>2015</v>
      </c>
      <c r="C39">
        <v>2</v>
      </c>
      <c r="D39">
        <v>2</v>
      </c>
      <c r="E39">
        <v>0.80225852316477297</v>
      </c>
      <c r="F39">
        <v>3.1740892358612398</v>
      </c>
      <c r="G39">
        <v>24.748839954492102</v>
      </c>
      <c r="H39">
        <v>-0.44096847848051102</v>
      </c>
      <c r="I39">
        <v>5.7822273416090697</v>
      </c>
      <c r="J39">
        <v>11.515239709042801</v>
      </c>
      <c r="K39">
        <v>-7.3650547060629599</v>
      </c>
      <c r="L39">
        <v>17.430389601685501</v>
      </c>
      <c r="M39">
        <v>15.1354957777419</v>
      </c>
      <c r="N39">
        <v>-1.5749117591000199</v>
      </c>
      <c r="O39">
        <v>3.9559508824798701</v>
      </c>
      <c r="P39">
        <v>15.8688690443803</v>
      </c>
      <c r="Q39">
        <v>-2.3947738825878702</v>
      </c>
      <c r="R39">
        <v>6.4115434908498896</v>
      </c>
      <c r="S39">
        <v>8.3415177835293903</v>
      </c>
      <c r="T39">
        <v>-2.5140314389888698</v>
      </c>
      <c r="U39">
        <v>10.877559164627501</v>
      </c>
      <c r="V39">
        <v>10.042304554989601</v>
      </c>
    </row>
    <row r="40" spans="1:22" x14ac:dyDescent="0.25">
      <c r="A40">
        <v>38</v>
      </c>
      <c r="B40">
        <v>2017</v>
      </c>
      <c r="C40">
        <v>2</v>
      </c>
      <c r="D40">
        <v>2</v>
      </c>
      <c r="E40">
        <v>-1.16114617816179</v>
      </c>
      <c r="F40">
        <v>7.7208315427669696</v>
      </c>
      <c r="G40">
        <v>14.3679490219012</v>
      </c>
      <c r="H40">
        <v>-1.9247132483118301</v>
      </c>
      <c r="I40">
        <v>3.7017246385206399</v>
      </c>
      <c r="J40">
        <v>19.5151121436393</v>
      </c>
      <c r="K40">
        <v>8.4503666976423109</v>
      </c>
      <c r="L40">
        <v>-7.4674104174952296</v>
      </c>
      <c r="M40">
        <v>14.6439571424729</v>
      </c>
      <c r="N40">
        <v>-1.3774930147347499</v>
      </c>
      <c r="O40">
        <v>5.6856664826708698</v>
      </c>
      <c r="P40">
        <v>7.8037169403718902</v>
      </c>
      <c r="Q40">
        <v>0.364901180579981</v>
      </c>
      <c r="R40">
        <v>-2.0586645490840798</v>
      </c>
      <c r="S40">
        <v>17.360335690629199</v>
      </c>
      <c r="T40">
        <v>6.7386922730094696</v>
      </c>
      <c r="U40">
        <v>-6.4366546749269702</v>
      </c>
      <c r="V40">
        <v>12.40323753278</v>
      </c>
    </row>
    <row r="41" spans="1:22" x14ac:dyDescent="0.25">
      <c r="A41">
        <v>39</v>
      </c>
      <c r="B41">
        <v>2020</v>
      </c>
      <c r="C41">
        <v>2</v>
      </c>
      <c r="D41">
        <v>2</v>
      </c>
      <c r="E41">
        <v>0.53094060863651504</v>
      </c>
      <c r="F41">
        <v>3.3501881118796599</v>
      </c>
      <c r="G41">
        <v>15.1756262457594</v>
      </c>
      <c r="H41">
        <v>-1.6391921464537</v>
      </c>
      <c r="I41">
        <v>4.0317228753521297</v>
      </c>
      <c r="J41">
        <v>8.4598484001131897</v>
      </c>
      <c r="K41">
        <v>2.0259840737161099</v>
      </c>
      <c r="L41">
        <v>-0.88116590188247801</v>
      </c>
      <c r="M41">
        <v>7.9991810191375796</v>
      </c>
      <c r="N41">
        <v>0.85336434664902505</v>
      </c>
      <c r="O41">
        <v>2.6188459471085102</v>
      </c>
      <c r="P41">
        <v>8.0193228024634902</v>
      </c>
      <c r="Q41">
        <v>0.53755817124766703</v>
      </c>
      <c r="R41">
        <v>0.27292001266865701</v>
      </c>
      <c r="S41">
        <v>7.5527202730285801</v>
      </c>
      <c r="T41">
        <v>1.1453730475116599</v>
      </c>
      <c r="U41">
        <v>0.12946085918386799</v>
      </c>
      <c r="V41">
        <v>7.7567602352922496</v>
      </c>
    </row>
    <row r="42" spans="1:22" x14ac:dyDescent="0.25">
      <c r="A42">
        <v>40</v>
      </c>
      <c r="B42">
        <v>2021</v>
      </c>
      <c r="C42">
        <v>2</v>
      </c>
      <c r="D42">
        <v>2</v>
      </c>
      <c r="E42">
        <v>8.6561382407414804</v>
      </c>
      <c r="F42">
        <v>-0.21139556113409699</v>
      </c>
      <c r="G42">
        <v>17.790779646941299</v>
      </c>
      <c r="H42">
        <v>-4.1101119321847301</v>
      </c>
      <c r="I42">
        <v>10.6648259567254</v>
      </c>
      <c r="J42">
        <v>6.6401826569396603</v>
      </c>
      <c r="K42">
        <v>5.2061722678599799E-2</v>
      </c>
      <c r="L42">
        <v>4.0280806670593599</v>
      </c>
      <c r="M42">
        <v>14.910470895472701</v>
      </c>
      <c r="N42">
        <v>-0.97795951938261705</v>
      </c>
      <c r="O42">
        <v>6.2388668089393198</v>
      </c>
      <c r="P42">
        <v>10.514098583278001</v>
      </c>
      <c r="Q42">
        <v>-1.4603858333906801</v>
      </c>
      <c r="R42">
        <v>6.0644841334233401</v>
      </c>
      <c r="S42">
        <v>5.75296414522166</v>
      </c>
      <c r="T42">
        <v>0.91416369058219504</v>
      </c>
      <c r="U42">
        <v>1.57151758301843</v>
      </c>
      <c r="V42">
        <v>11.812567195948899</v>
      </c>
    </row>
    <row r="43" spans="1:22" x14ac:dyDescent="0.25">
      <c r="A43">
        <v>41</v>
      </c>
      <c r="B43">
        <v>2022</v>
      </c>
      <c r="C43">
        <v>2</v>
      </c>
      <c r="D43">
        <v>2</v>
      </c>
      <c r="E43">
        <v>5.5357668046509803</v>
      </c>
      <c r="F43">
        <v>-0.67403355286838096</v>
      </c>
      <c r="G43">
        <v>23.945249127393598</v>
      </c>
      <c r="H43">
        <v>-2.7579261571662599</v>
      </c>
      <c r="I43">
        <v>8.4972822543224495</v>
      </c>
      <c r="J43">
        <v>14.214715590200701</v>
      </c>
      <c r="K43">
        <v>2.2999060410769201</v>
      </c>
      <c r="L43">
        <v>4.3554746533886997</v>
      </c>
      <c r="M43">
        <v>8.0905347777437804</v>
      </c>
      <c r="N43">
        <v>-1.59351966186565</v>
      </c>
      <c r="O43">
        <v>4.7563438281961696</v>
      </c>
      <c r="P43">
        <v>13.335020063678799</v>
      </c>
      <c r="Q43">
        <v>-3.2099176144228201</v>
      </c>
      <c r="R43">
        <v>6.8678784570712397</v>
      </c>
      <c r="S43">
        <v>11.158152207307101</v>
      </c>
      <c r="T43">
        <v>2.4259679640880401</v>
      </c>
      <c r="U43">
        <v>0.32940925126062098</v>
      </c>
      <c r="V43">
        <v>8.6801445918588804</v>
      </c>
    </row>
    <row r="44" spans="1:22" x14ac:dyDescent="0.25">
      <c r="A44">
        <v>42</v>
      </c>
      <c r="B44">
        <v>2023</v>
      </c>
      <c r="C44">
        <v>2</v>
      </c>
      <c r="D44">
        <v>2</v>
      </c>
      <c r="E44">
        <v>4.8562069203335998</v>
      </c>
      <c r="F44">
        <v>-6.1536064317662102</v>
      </c>
      <c r="G44">
        <v>18.322852121924999</v>
      </c>
      <c r="H44">
        <v>-0.58039365121588704</v>
      </c>
      <c r="I44">
        <v>3.7603429643791402</v>
      </c>
      <c r="J44">
        <v>10.9665613969535</v>
      </c>
      <c r="K44">
        <v>1.9378952327596</v>
      </c>
      <c r="L44">
        <v>2.3314198410204501</v>
      </c>
      <c r="M44">
        <v>10.549939138888501</v>
      </c>
      <c r="N44">
        <v>1.97695460993693</v>
      </c>
      <c r="O44">
        <v>-0.940020137563223</v>
      </c>
      <c r="P44">
        <v>10.1011031061292</v>
      </c>
      <c r="Q44">
        <v>1.20609476817844</v>
      </c>
      <c r="R44">
        <v>-0.86997241843948103</v>
      </c>
      <c r="S44">
        <v>8.9797592736421397</v>
      </c>
      <c r="T44">
        <v>0.29139265689501098</v>
      </c>
      <c r="U44">
        <v>2.7125569898921502</v>
      </c>
      <c r="V44">
        <v>10.1331537851647</v>
      </c>
    </row>
    <row r="45" spans="1:22" x14ac:dyDescent="0.25">
      <c r="A45">
        <v>43</v>
      </c>
      <c r="B45">
        <v>2025</v>
      </c>
      <c r="C45">
        <v>2</v>
      </c>
      <c r="D45">
        <v>2</v>
      </c>
      <c r="E45">
        <v>-7.0499575835133799</v>
      </c>
      <c r="F45">
        <v>20.397790690981498</v>
      </c>
      <c r="G45">
        <v>19.991196655982101</v>
      </c>
      <c r="H45">
        <v>-0.103888008743849</v>
      </c>
      <c r="I45">
        <v>5.9965162663118301</v>
      </c>
      <c r="J45">
        <v>9.8347296176494901</v>
      </c>
      <c r="K45">
        <v>-4.8256403704448996</v>
      </c>
      <c r="L45">
        <v>12.9866620282751</v>
      </c>
      <c r="M45">
        <v>14.8453785755786</v>
      </c>
      <c r="N45">
        <v>-5.5109313923433998</v>
      </c>
      <c r="O45">
        <v>15.088765855773801</v>
      </c>
      <c r="P45">
        <v>11.3425038759133</v>
      </c>
      <c r="Q45">
        <v>-0.50355273798876099</v>
      </c>
      <c r="R45">
        <v>4.0475489478727296</v>
      </c>
      <c r="S45">
        <v>9.0253239753035697</v>
      </c>
      <c r="T45">
        <v>-2.2703761943485099</v>
      </c>
      <c r="U45">
        <v>7.7540535635046197</v>
      </c>
      <c r="V45">
        <v>10.6142529093873</v>
      </c>
    </row>
    <row r="46" spans="1:22" x14ac:dyDescent="0.25">
      <c r="A46">
        <v>44</v>
      </c>
      <c r="B46">
        <v>2026</v>
      </c>
      <c r="C46">
        <v>2</v>
      </c>
      <c r="D46">
        <v>2</v>
      </c>
      <c r="E46">
        <v>-6.05971025370006</v>
      </c>
      <c r="F46">
        <v>22.790581203825901</v>
      </c>
      <c r="G46">
        <v>15.918856697540001</v>
      </c>
      <c r="H46">
        <v>-1.0085228099305099</v>
      </c>
      <c r="I46">
        <v>9.5400424518923792</v>
      </c>
      <c r="J46">
        <v>10.9057479017424</v>
      </c>
      <c r="K46">
        <v>1.1085126461864301</v>
      </c>
      <c r="L46">
        <v>6.93010905821476</v>
      </c>
      <c r="M46">
        <v>11.4624616292752</v>
      </c>
      <c r="N46">
        <v>-6.0708640596703196</v>
      </c>
      <c r="O46">
        <v>15.2700440489147</v>
      </c>
      <c r="P46">
        <v>8.3618190082342707</v>
      </c>
      <c r="Q46">
        <v>-2.0992607947039601</v>
      </c>
      <c r="R46">
        <v>6.9122063198004096</v>
      </c>
      <c r="S46">
        <v>9.0861516038612695</v>
      </c>
      <c r="T46">
        <v>0.79724229065871399</v>
      </c>
      <c r="U46">
        <v>4.3736710213596197</v>
      </c>
      <c r="V46">
        <v>8.6576708884646703</v>
      </c>
    </row>
    <row r="47" spans="1:22" x14ac:dyDescent="0.25">
      <c r="A47">
        <v>45</v>
      </c>
      <c r="B47">
        <v>2027</v>
      </c>
      <c r="C47">
        <v>2</v>
      </c>
      <c r="D47">
        <v>2</v>
      </c>
      <c r="E47">
        <v>-9.5234061545128998</v>
      </c>
      <c r="F47">
        <v>28.297903372956501</v>
      </c>
      <c r="G47">
        <v>19.038001168666401</v>
      </c>
      <c r="H47">
        <v>0.241234526525237</v>
      </c>
      <c r="I47">
        <v>4.9666101501290596</v>
      </c>
      <c r="J47">
        <v>15.859910599848501</v>
      </c>
      <c r="K47">
        <v>-0.19084245534872499</v>
      </c>
      <c r="L47">
        <v>10.350673566616599</v>
      </c>
      <c r="M47">
        <v>7.3953092851090201</v>
      </c>
      <c r="N47">
        <v>-5.0895525049755097</v>
      </c>
      <c r="O47">
        <v>11.9392205485735</v>
      </c>
      <c r="P47">
        <v>9.3122734726334393</v>
      </c>
      <c r="Q47">
        <v>0.57902929514690504</v>
      </c>
      <c r="R47">
        <v>2.1351013535499699</v>
      </c>
      <c r="S47">
        <v>11.8517697600641</v>
      </c>
      <c r="T47">
        <v>-1.2707204200884601</v>
      </c>
      <c r="U47">
        <v>8.6791372183461508</v>
      </c>
      <c r="V47">
        <v>8.1182292759889005</v>
      </c>
    </row>
    <row r="48" spans="1:22" x14ac:dyDescent="0.25">
      <c r="A48">
        <v>46</v>
      </c>
      <c r="B48">
        <v>2033</v>
      </c>
      <c r="C48">
        <v>2</v>
      </c>
      <c r="D48">
        <v>2</v>
      </c>
      <c r="E48">
        <v>2.34996387947167</v>
      </c>
      <c r="F48">
        <v>0.365566847398552</v>
      </c>
      <c r="G48">
        <v>19.851464436652201</v>
      </c>
      <c r="H48">
        <v>4.9303528779277102</v>
      </c>
      <c r="I48">
        <v>-4.9340094316760501</v>
      </c>
      <c r="J48">
        <v>19.5934333122831</v>
      </c>
      <c r="K48">
        <v>2.5921769274098398</v>
      </c>
      <c r="L48">
        <v>1.4777556953516</v>
      </c>
      <c r="M48">
        <v>11.316081779777999</v>
      </c>
      <c r="N48">
        <v>-0.78515639062800402</v>
      </c>
      <c r="O48">
        <v>5.0494626853926601</v>
      </c>
      <c r="P48">
        <v>10.555096073346601</v>
      </c>
      <c r="Q48">
        <v>1.2008370869049501</v>
      </c>
      <c r="R48">
        <v>-0.24736152123576999</v>
      </c>
      <c r="S48">
        <v>15.221210390246499</v>
      </c>
      <c r="T48">
        <v>1.77690522107481</v>
      </c>
      <c r="U48">
        <v>0.96842372507683405</v>
      </c>
      <c r="V48">
        <v>10.965599318602001</v>
      </c>
    </row>
    <row r="49" spans="1:22" x14ac:dyDescent="0.25">
      <c r="A49">
        <v>47</v>
      </c>
      <c r="B49">
        <v>2034</v>
      </c>
      <c r="C49">
        <v>2</v>
      </c>
      <c r="D49">
        <v>2</v>
      </c>
      <c r="E49">
        <v>-8.2830479749671202</v>
      </c>
      <c r="F49">
        <v>20.9949103826354</v>
      </c>
      <c r="G49">
        <v>25.744328772967101</v>
      </c>
      <c r="H49">
        <v>4.2516661075939401</v>
      </c>
      <c r="I49">
        <v>-4.3914445516471599</v>
      </c>
      <c r="J49">
        <v>18.2289517176042</v>
      </c>
      <c r="K49">
        <v>-4.9465004743399401</v>
      </c>
      <c r="L49">
        <v>15.187446247910099</v>
      </c>
      <c r="M49">
        <v>12.121967870862299</v>
      </c>
      <c r="N49">
        <v>-5.20529703346687</v>
      </c>
      <c r="O49">
        <v>12.5609207132495</v>
      </c>
      <c r="P49">
        <v>11.4038029445764</v>
      </c>
      <c r="Q49">
        <v>1.27791188192747</v>
      </c>
      <c r="R49">
        <v>-4.3354863871437999E-2</v>
      </c>
      <c r="S49">
        <v>10.439736184606099</v>
      </c>
      <c r="T49">
        <v>0.28431840977273398</v>
      </c>
      <c r="U49">
        <v>4.4859208754377198</v>
      </c>
      <c r="V49">
        <v>10.6793977776949</v>
      </c>
    </row>
    <row r="50" spans="1:22" x14ac:dyDescent="0.25">
      <c r="A50">
        <v>48</v>
      </c>
      <c r="B50">
        <v>2037</v>
      </c>
      <c r="C50">
        <v>2</v>
      </c>
      <c r="D50">
        <v>2</v>
      </c>
      <c r="E50">
        <v>4.9691379416883397</v>
      </c>
      <c r="F50">
        <v>-4.5824241283171698</v>
      </c>
      <c r="G50">
        <v>17.3494392598095</v>
      </c>
      <c r="H50">
        <v>6.6771391864166603</v>
      </c>
      <c r="I50">
        <v>-2.8066227933715902</v>
      </c>
      <c r="J50">
        <v>11.4783137240742</v>
      </c>
      <c r="K50">
        <v>3.5969015781110598</v>
      </c>
      <c r="L50">
        <v>-2.62746776628767</v>
      </c>
      <c r="M50">
        <v>13.5841974096413</v>
      </c>
      <c r="N50">
        <v>2.65443674091145</v>
      </c>
      <c r="O50">
        <v>-1.6300309596437501</v>
      </c>
      <c r="P50">
        <v>9.3284970144312904</v>
      </c>
      <c r="Q50">
        <v>3.3401431637605299</v>
      </c>
      <c r="R50">
        <v>-0.205376792760502</v>
      </c>
      <c r="S50">
        <v>10.5827681056098</v>
      </c>
      <c r="T50">
        <v>0.74881380967724998</v>
      </c>
      <c r="U50">
        <v>2.81326870673246</v>
      </c>
      <c r="V50">
        <v>10.3920186158538</v>
      </c>
    </row>
    <row r="51" spans="1:22" x14ac:dyDescent="0.25">
      <c r="A51">
        <v>49</v>
      </c>
      <c r="B51">
        <v>2038</v>
      </c>
      <c r="C51">
        <v>2</v>
      </c>
      <c r="D51">
        <v>2</v>
      </c>
      <c r="E51">
        <v>-1.82166227002475</v>
      </c>
      <c r="F51">
        <v>6.06524508259524</v>
      </c>
      <c r="G51">
        <v>22.2884210192612</v>
      </c>
      <c r="H51">
        <v>-2.23407318318894</v>
      </c>
      <c r="I51">
        <v>9.9237916009513398</v>
      </c>
      <c r="J51">
        <v>11.6776831643871</v>
      </c>
      <c r="K51">
        <v>-2.25036493577278</v>
      </c>
      <c r="L51">
        <v>6.1704126312526002</v>
      </c>
      <c r="M51">
        <v>14.320238399937001</v>
      </c>
      <c r="N51">
        <v>3.25917348451499</v>
      </c>
      <c r="O51">
        <v>-1.55210724472881</v>
      </c>
      <c r="P51">
        <v>12.2655344168755</v>
      </c>
      <c r="Q51">
        <v>-0.27778763278882102</v>
      </c>
      <c r="R51">
        <v>5.65839504880684</v>
      </c>
      <c r="S51">
        <v>8.1827017557570692</v>
      </c>
      <c r="T51">
        <v>-1.38466011366318</v>
      </c>
      <c r="U51">
        <v>5.85668491984078</v>
      </c>
      <c r="V51">
        <v>10.1291946636448</v>
      </c>
    </row>
    <row r="52" spans="1:22" x14ac:dyDescent="0.25">
      <c r="A52">
        <v>50</v>
      </c>
      <c r="B52">
        <v>2039</v>
      </c>
      <c r="C52">
        <v>2</v>
      </c>
      <c r="D52">
        <v>2</v>
      </c>
      <c r="E52">
        <v>-0.21202986097170601</v>
      </c>
      <c r="F52">
        <v>9.6407870693152002</v>
      </c>
      <c r="G52">
        <v>20.205668679944299</v>
      </c>
      <c r="H52">
        <v>3.9659823654640101</v>
      </c>
      <c r="I52">
        <v>3.7333156556809102</v>
      </c>
      <c r="J52">
        <v>8.7297824215097695</v>
      </c>
      <c r="K52">
        <v>-0.54911860868050899</v>
      </c>
      <c r="L52">
        <v>9.5035332187238701</v>
      </c>
      <c r="M52">
        <v>14.1362332781086</v>
      </c>
      <c r="N52">
        <v>3.79166513077951</v>
      </c>
      <c r="O52">
        <v>0.75243127639685103</v>
      </c>
      <c r="P52">
        <v>12.664317689834601</v>
      </c>
      <c r="Q52">
        <v>2.6017475616708698</v>
      </c>
      <c r="R52">
        <v>1.87090485438334</v>
      </c>
      <c r="S52">
        <v>7.58613590840665</v>
      </c>
      <c r="T52">
        <v>-0.198121600338836</v>
      </c>
      <c r="U52">
        <v>5.8534857351682303</v>
      </c>
      <c r="V52">
        <v>12.6421183469794</v>
      </c>
    </row>
    <row r="53" spans="1:22" x14ac:dyDescent="0.25">
      <c r="A53">
        <v>51</v>
      </c>
      <c r="B53">
        <v>2042</v>
      </c>
      <c r="C53">
        <v>2</v>
      </c>
      <c r="D53">
        <v>2</v>
      </c>
      <c r="E53">
        <v>8.6113328919648904</v>
      </c>
      <c r="F53">
        <v>-12.154534113960199</v>
      </c>
      <c r="G53">
        <v>26.373981573477302</v>
      </c>
      <c r="H53">
        <v>2.5337003246394398</v>
      </c>
      <c r="I53">
        <v>0.98015323310024205</v>
      </c>
      <c r="J53">
        <v>18.383352669222401</v>
      </c>
      <c r="K53">
        <v>-1.9976322422506001</v>
      </c>
      <c r="L53">
        <v>6.9530529468900397</v>
      </c>
      <c r="M53">
        <v>9.0371042694156092</v>
      </c>
      <c r="N53">
        <v>6.6458376052984596</v>
      </c>
      <c r="O53">
        <v>-8.1989998976602507</v>
      </c>
      <c r="P53">
        <v>15.6556927903064</v>
      </c>
      <c r="Q53">
        <v>1.6355704922163901</v>
      </c>
      <c r="R53">
        <v>2.5247138223816701</v>
      </c>
      <c r="S53">
        <v>11.391753344719101</v>
      </c>
      <c r="T53">
        <v>0.52196411046807401</v>
      </c>
      <c r="U53">
        <v>2.0359638882269202</v>
      </c>
      <c r="V53">
        <v>8.6291170619459798</v>
      </c>
    </row>
    <row r="54" spans="1:22" x14ac:dyDescent="0.25">
      <c r="A54">
        <v>52</v>
      </c>
      <c r="B54">
        <v>2052</v>
      </c>
      <c r="C54">
        <v>2</v>
      </c>
      <c r="D54">
        <v>2</v>
      </c>
      <c r="E54">
        <v>0.86986807484893303</v>
      </c>
      <c r="F54">
        <v>2.4358225766639401</v>
      </c>
      <c r="G54">
        <v>19.2306350181189</v>
      </c>
      <c r="H54">
        <v>7.3341887346351102</v>
      </c>
      <c r="I54">
        <v>-6.1085138778695303</v>
      </c>
      <c r="J54">
        <v>15.644244278411</v>
      </c>
      <c r="K54">
        <v>-0.51144987476924197</v>
      </c>
      <c r="L54">
        <v>4.1231782434759801</v>
      </c>
      <c r="M54">
        <v>13.080092406182199</v>
      </c>
      <c r="N54">
        <v>1.47200535507928</v>
      </c>
      <c r="O54">
        <v>1.21176225010533</v>
      </c>
      <c r="P54">
        <v>9.3772684084013704</v>
      </c>
      <c r="Q54">
        <v>2.91008501670699</v>
      </c>
      <c r="R54">
        <v>-1.49948378554707</v>
      </c>
      <c r="S54">
        <v>12.2512253248136</v>
      </c>
      <c r="T54">
        <v>-2.4506205764017901</v>
      </c>
      <c r="U54">
        <v>6.51995829238159</v>
      </c>
      <c r="V54">
        <v>10.796669213207901</v>
      </c>
    </row>
    <row r="55" spans="1:22" x14ac:dyDescent="0.25">
      <c r="A55">
        <v>53</v>
      </c>
      <c r="B55">
        <v>2059</v>
      </c>
      <c r="C55">
        <v>2</v>
      </c>
      <c r="D55">
        <v>2</v>
      </c>
      <c r="E55">
        <v>13.749133213797601</v>
      </c>
      <c r="F55">
        <v>-22.789577883798799</v>
      </c>
      <c r="G55">
        <v>32.0999341170821</v>
      </c>
      <c r="H55">
        <v>1.5985076373536999</v>
      </c>
      <c r="I55">
        <v>-1.63121760931133</v>
      </c>
      <c r="J55">
        <v>7.9791193517663999</v>
      </c>
      <c r="K55">
        <v>0.72421612692000903</v>
      </c>
      <c r="L55">
        <v>3.7819096672677599</v>
      </c>
      <c r="M55">
        <v>14.563416638007601</v>
      </c>
      <c r="N55">
        <v>9.5744053549518497</v>
      </c>
      <c r="O55">
        <v>-17.516936947241099</v>
      </c>
      <c r="P55">
        <v>22.609711789916702</v>
      </c>
      <c r="Q55">
        <v>2.1425969516344701</v>
      </c>
      <c r="R55">
        <v>-2.8241597814091302</v>
      </c>
      <c r="S55">
        <v>8.1884867341925691</v>
      </c>
      <c r="T55">
        <v>2.2936152944202099</v>
      </c>
      <c r="U55">
        <v>-1.33086248460792</v>
      </c>
      <c r="V55">
        <v>13.0689295167855</v>
      </c>
    </row>
    <row r="56" spans="1:22" x14ac:dyDescent="0.25">
      <c r="A56">
        <v>54</v>
      </c>
      <c r="B56">
        <v>2062</v>
      </c>
      <c r="C56">
        <v>2</v>
      </c>
      <c r="D56">
        <v>2</v>
      </c>
      <c r="E56">
        <v>8.5310460950916305</v>
      </c>
      <c r="F56">
        <v>-10.199320968551699</v>
      </c>
      <c r="G56">
        <v>33.186802596661103</v>
      </c>
      <c r="H56">
        <v>0.14511469648570699</v>
      </c>
      <c r="I56">
        <v>2.56608547037475</v>
      </c>
      <c r="J56">
        <v>13.0871212375882</v>
      </c>
      <c r="K56">
        <v>2.72553778326979</v>
      </c>
      <c r="L56">
        <v>-0.133963125644186</v>
      </c>
      <c r="M56">
        <v>22.8989947787482</v>
      </c>
      <c r="N56">
        <v>0.33087487904035001</v>
      </c>
      <c r="O56">
        <v>-0.49060225011183201</v>
      </c>
      <c r="P56">
        <v>18.3305655534027</v>
      </c>
      <c r="Q56">
        <v>-1.29587226557345</v>
      </c>
      <c r="R56">
        <v>3.9956531861348998</v>
      </c>
      <c r="S56">
        <v>10.336739694740499</v>
      </c>
      <c r="T56">
        <v>0.55632202222698501</v>
      </c>
      <c r="U56">
        <v>1.7980318574334</v>
      </c>
      <c r="V56">
        <v>15.724507644069</v>
      </c>
    </row>
    <row r="57" spans="1:22" x14ac:dyDescent="0.25">
      <c r="A57">
        <v>55</v>
      </c>
      <c r="B57">
        <v>2082</v>
      </c>
      <c r="C57">
        <v>2</v>
      </c>
      <c r="D57">
        <v>2</v>
      </c>
      <c r="E57">
        <v>-43.171763178719097</v>
      </c>
      <c r="F57">
        <v>80.457597830431197</v>
      </c>
      <c r="G57">
        <v>25.4682885707665</v>
      </c>
      <c r="H57">
        <v>-58.400813925786601</v>
      </c>
      <c r="I57">
        <v>106.942355595066</v>
      </c>
      <c r="J57">
        <v>9.0007040144084804</v>
      </c>
      <c r="K57">
        <v>-77.383446378920596</v>
      </c>
      <c r="L57">
        <v>137.75805474601</v>
      </c>
      <c r="M57">
        <v>13.1253257616162</v>
      </c>
      <c r="N57">
        <v>-30.022322595857801</v>
      </c>
      <c r="O57">
        <v>54.004327568290698</v>
      </c>
      <c r="P57">
        <v>17.2716269115998</v>
      </c>
      <c r="Q57">
        <v>-42.984246962570502</v>
      </c>
      <c r="R57">
        <v>77.657134564070802</v>
      </c>
      <c r="S57">
        <v>8.6791421173471601</v>
      </c>
      <c r="T57">
        <v>-83.503035745684102</v>
      </c>
      <c r="U57">
        <v>147.70242272111301</v>
      </c>
      <c r="V57">
        <v>8.2827961291619907</v>
      </c>
    </row>
    <row r="58" spans="1:22" x14ac:dyDescent="0.25">
      <c r="A58">
        <v>56</v>
      </c>
      <c r="B58">
        <v>2090</v>
      </c>
      <c r="C58">
        <v>2</v>
      </c>
      <c r="D58">
        <v>2</v>
      </c>
      <c r="E58">
        <v>-12.3410541475172</v>
      </c>
      <c r="F58">
        <v>25.222966048107999</v>
      </c>
      <c r="G58">
        <v>31.001281463412401</v>
      </c>
      <c r="H58">
        <v>-3.7154480278103201</v>
      </c>
      <c r="I58">
        <v>17.467256822768199</v>
      </c>
      <c r="J58">
        <v>8.3848748303540699</v>
      </c>
      <c r="K58">
        <v>1.31545699016833</v>
      </c>
      <c r="L58">
        <v>6.37793385842612</v>
      </c>
      <c r="M58">
        <v>18.108695269511902</v>
      </c>
      <c r="N58">
        <v>-8.3364456918415204</v>
      </c>
      <c r="O58">
        <v>20.635517453247399</v>
      </c>
      <c r="P58">
        <v>21.467797310877302</v>
      </c>
      <c r="Q58">
        <v>0.73817291875422497</v>
      </c>
      <c r="R58">
        <v>6.1638886447392398</v>
      </c>
      <c r="S58">
        <v>7.4553597928897899</v>
      </c>
      <c r="T58">
        <v>4.9642800875723596</v>
      </c>
      <c r="U58">
        <v>9.9595606346648199E-2</v>
      </c>
      <c r="V58">
        <v>12.694999529703001</v>
      </c>
    </row>
    <row r="59" spans="1:22" x14ac:dyDescent="0.25">
      <c r="A59">
        <v>57</v>
      </c>
      <c r="B59">
        <v>2095</v>
      </c>
      <c r="C59">
        <v>2</v>
      </c>
      <c r="D59">
        <v>2</v>
      </c>
      <c r="E59">
        <v>-2.7522820118534601</v>
      </c>
      <c r="F59">
        <v>9.2588386774678799</v>
      </c>
      <c r="G59">
        <v>29.6581618786667</v>
      </c>
      <c r="H59">
        <v>-7.6057946680013702</v>
      </c>
      <c r="I59">
        <v>20.393278853773001</v>
      </c>
      <c r="J59">
        <v>10.190270012190799</v>
      </c>
      <c r="K59">
        <v>-3.9217834266454399</v>
      </c>
      <c r="L59">
        <v>12.6495658288553</v>
      </c>
      <c r="M59">
        <v>15.2475653148596</v>
      </c>
      <c r="N59">
        <v>-3.8307651533939699</v>
      </c>
      <c r="O59">
        <v>13.495678711435399</v>
      </c>
      <c r="P59">
        <v>12.3800932194259</v>
      </c>
      <c r="Q59">
        <v>1.3013963454314399</v>
      </c>
      <c r="R59">
        <v>1.65639074170319</v>
      </c>
      <c r="S59">
        <v>10.290376058705199</v>
      </c>
      <c r="T59">
        <v>0.35622719027226002</v>
      </c>
      <c r="U59">
        <v>0.33341543082625802</v>
      </c>
      <c r="V59">
        <v>15.130812536880899</v>
      </c>
    </row>
    <row r="60" spans="1:22" x14ac:dyDescent="0.25">
      <c r="A60">
        <v>58</v>
      </c>
      <c r="B60">
        <v>2111</v>
      </c>
      <c r="C60">
        <v>2</v>
      </c>
      <c r="D60">
        <v>2</v>
      </c>
      <c r="E60">
        <v>-4.8803226774877002</v>
      </c>
      <c r="F60">
        <v>7.6632215914431701</v>
      </c>
      <c r="G60">
        <v>31.791764013997099</v>
      </c>
      <c r="H60">
        <v>-11.030415616131499</v>
      </c>
      <c r="I60">
        <v>19.899277341220198</v>
      </c>
      <c r="J60">
        <v>13.921445696384501</v>
      </c>
      <c r="K60">
        <v>3.9840404100145301</v>
      </c>
      <c r="L60">
        <v>-2.68011245178737</v>
      </c>
      <c r="M60">
        <v>22.2124385045277</v>
      </c>
      <c r="N60">
        <v>-4.8819840722311003</v>
      </c>
      <c r="O60">
        <v>6.7219147381283104</v>
      </c>
      <c r="P60">
        <v>21.109565358626298</v>
      </c>
      <c r="Q60">
        <v>-3.7972812424156701</v>
      </c>
      <c r="R60">
        <v>6.5881762281111902</v>
      </c>
      <c r="S60">
        <v>13.9782694918344</v>
      </c>
      <c r="T60">
        <v>-1.3011927202086699</v>
      </c>
      <c r="U60">
        <v>4.2784752934009704</v>
      </c>
      <c r="V60">
        <v>16.745192453388299</v>
      </c>
    </row>
    <row r="61" spans="1:22" x14ac:dyDescent="0.25">
      <c r="A61">
        <v>59</v>
      </c>
      <c r="B61">
        <v>2117</v>
      </c>
      <c r="C61">
        <v>2</v>
      </c>
      <c r="D61">
        <v>2</v>
      </c>
      <c r="E61">
        <v>-4.7984720609910996</v>
      </c>
      <c r="F61">
        <v>14.164498358765</v>
      </c>
      <c r="G61">
        <v>25.406335360915602</v>
      </c>
      <c r="H61">
        <v>-1.8519087960212</v>
      </c>
      <c r="I61">
        <v>5.2987755302238604</v>
      </c>
      <c r="J61">
        <v>11.588485295369701</v>
      </c>
      <c r="K61">
        <v>2.8321670251070099</v>
      </c>
      <c r="L61">
        <v>-1.3196650234841001</v>
      </c>
      <c r="M61">
        <v>16.9977990868002</v>
      </c>
      <c r="N61">
        <v>1.10332044774927</v>
      </c>
      <c r="O61">
        <v>5.0337828941568201</v>
      </c>
      <c r="P61">
        <v>14.053178089107901</v>
      </c>
      <c r="Q61">
        <v>-1.54165015329836</v>
      </c>
      <c r="R61">
        <v>6.5903439276006903</v>
      </c>
      <c r="S61">
        <v>8.1976064011560705</v>
      </c>
      <c r="T61">
        <v>-1.8279636945981399</v>
      </c>
      <c r="U61">
        <v>5.1578532020836798</v>
      </c>
      <c r="V61">
        <v>11.287929709862899</v>
      </c>
    </row>
    <row r="62" spans="1:22" x14ac:dyDescent="0.25">
      <c r="A62">
        <v>60</v>
      </c>
      <c r="B62">
        <v>3029</v>
      </c>
      <c r="C62">
        <v>3</v>
      </c>
      <c r="D62">
        <v>2</v>
      </c>
      <c r="E62">
        <v>-1.8867390869318199</v>
      </c>
      <c r="F62">
        <v>13.526082042460001</v>
      </c>
      <c r="G62">
        <v>24.3071527758696</v>
      </c>
      <c r="H62">
        <v>-5.6031665257830197</v>
      </c>
      <c r="I62">
        <v>18.9626902898883</v>
      </c>
      <c r="J62">
        <v>8.0908248622182501</v>
      </c>
      <c r="K62">
        <v>-4.6968580349301101</v>
      </c>
      <c r="L62">
        <v>18.1572439587882</v>
      </c>
      <c r="M62">
        <v>11.771484758644</v>
      </c>
      <c r="N62">
        <v>-4.0514432016817903</v>
      </c>
      <c r="O62">
        <v>12.7935551870205</v>
      </c>
      <c r="P62">
        <v>16.814260226288699</v>
      </c>
      <c r="Q62">
        <v>-4.3211829194220801</v>
      </c>
      <c r="R62">
        <v>14.5308488396042</v>
      </c>
      <c r="S62">
        <v>6.5802676461644598</v>
      </c>
      <c r="T62">
        <v>-0.61108606671691801</v>
      </c>
      <c r="U62">
        <v>5.5747825696329798</v>
      </c>
      <c r="V62">
        <v>14.8626477072764</v>
      </c>
    </row>
    <row r="63" spans="1:22" x14ac:dyDescent="0.25">
      <c r="A63">
        <v>61</v>
      </c>
      <c r="B63">
        <v>3034</v>
      </c>
      <c r="C63">
        <v>3</v>
      </c>
      <c r="D63">
        <v>2</v>
      </c>
      <c r="E63">
        <v>0.20550490046478401</v>
      </c>
      <c r="F63">
        <v>3.67353350896764</v>
      </c>
      <c r="G63">
        <v>27.802180506798599</v>
      </c>
      <c r="H63">
        <v>-3.7760524487222802</v>
      </c>
      <c r="I63">
        <v>13.791732752328199</v>
      </c>
      <c r="J63">
        <v>11.329513496151201</v>
      </c>
      <c r="K63">
        <v>-7.2284048089596498</v>
      </c>
      <c r="L63">
        <v>18.9506721102791</v>
      </c>
      <c r="M63">
        <v>13.656758649051801</v>
      </c>
      <c r="N63">
        <v>-0.72658134971055999</v>
      </c>
      <c r="O63">
        <v>4.55139458024495</v>
      </c>
      <c r="P63">
        <v>17.2154100888134</v>
      </c>
      <c r="Q63">
        <v>0.94759103860452798</v>
      </c>
      <c r="R63">
        <v>3.8539641307501999</v>
      </c>
      <c r="S63">
        <v>8.9180722642673693</v>
      </c>
      <c r="T63">
        <v>-4.3001395839081296</v>
      </c>
      <c r="U63">
        <v>11.2754039665591</v>
      </c>
      <c r="V63">
        <v>12.150642100380701</v>
      </c>
    </row>
    <row r="64" spans="1:22" x14ac:dyDescent="0.25">
      <c r="A64">
        <v>62</v>
      </c>
      <c r="B64">
        <v>3039</v>
      </c>
      <c r="C64">
        <v>3</v>
      </c>
      <c r="D64">
        <v>2</v>
      </c>
      <c r="E64">
        <v>-4.5466657609947498</v>
      </c>
      <c r="F64">
        <v>11.7342045913555</v>
      </c>
      <c r="G64">
        <v>21.689846296073998</v>
      </c>
      <c r="H64">
        <v>-6.1831276731040896</v>
      </c>
      <c r="I64">
        <v>11.652705877626699</v>
      </c>
      <c r="J64">
        <v>10.072392953385</v>
      </c>
      <c r="K64">
        <v>0.351428347144215</v>
      </c>
      <c r="L64">
        <v>3.0131529117208098</v>
      </c>
      <c r="M64">
        <v>15.3082310703694</v>
      </c>
      <c r="N64">
        <v>-2.51419763654562</v>
      </c>
      <c r="O64">
        <v>7.0795940478475599</v>
      </c>
      <c r="P64">
        <v>13.2925394303454</v>
      </c>
      <c r="Q64">
        <v>-0.96230961793089598</v>
      </c>
      <c r="R64">
        <v>2.5847056529774601</v>
      </c>
      <c r="S64">
        <v>10.015874972341701</v>
      </c>
      <c r="T64">
        <v>-1.5027232514876401</v>
      </c>
      <c r="U64">
        <v>7.0952910114499597</v>
      </c>
      <c r="V64">
        <v>10.8867042124424</v>
      </c>
    </row>
    <row r="65" spans="1:22" x14ac:dyDescent="0.25">
      <c r="A65">
        <v>63</v>
      </c>
      <c r="B65">
        <v>3053</v>
      </c>
      <c r="C65">
        <v>3</v>
      </c>
      <c r="D65">
        <v>2</v>
      </c>
      <c r="E65">
        <v>11.353850883964</v>
      </c>
      <c r="F65">
        <v>-19.507861961547601</v>
      </c>
      <c r="G65">
        <v>39.1453458902742</v>
      </c>
      <c r="H65">
        <v>-1.09949481349636</v>
      </c>
      <c r="I65">
        <v>2.6795511691306202</v>
      </c>
      <c r="J65">
        <v>7.2047330666352103</v>
      </c>
      <c r="K65">
        <v>9.4786436986976794E-2</v>
      </c>
      <c r="L65">
        <v>-4.6345875621148496</v>
      </c>
      <c r="M65">
        <v>29.602071239905101</v>
      </c>
      <c r="N65">
        <v>7.6481401412635899</v>
      </c>
      <c r="O65">
        <v>-13.712894508995699</v>
      </c>
      <c r="P65">
        <v>26.734650188851099</v>
      </c>
      <c r="Q65">
        <v>-1.7944546805807799</v>
      </c>
      <c r="R65">
        <v>4.9523235669149699</v>
      </c>
      <c r="S65">
        <v>6.0684938292845603</v>
      </c>
      <c r="T65">
        <v>0.62472587524276701</v>
      </c>
      <c r="U65">
        <v>-0.11983306404060901</v>
      </c>
      <c r="V65">
        <v>20.938845501419099</v>
      </c>
    </row>
    <row r="66" spans="1:22" x14ac:dyDescent="0.25">
      <c r="A66">
        <v>64</v>
      </c>
      <c r="B66">
        <v>3063</v>
      </c>
      <c r="C66">
        <v>3</v>
      </c>
      <c r="D66">
        <v>2</v>
      </c>
      <c r="E66">
        <v>-3.4731087519617398</v>
      </c>
      <c r="F66">
        <v>4.0564656710587998</v>
      </c>
      <c r="G66">
        <v>30.908210069971101</v>
      </c>
      <c r="H66">
        <v>4.73939413125344</v>
      </c>
      <c r="I66">
        <v>-3.9126932840584798</v>
      </c>
      <c r="J66">
        <v>8.8671339157364102</v>
      </c>
      <c r="K66">
        <v>5.3525729456040398</v>
      </c>
      <c r="L66">
        <v>-3.1464734643429302</v>
      </c>
      <c r="M66">
        <v>19.1133767755055</v>
      </c>
      <c r="N66">
        <v>-4.1275771660485097</v>
      </c>
      <c r="O66">
        <v>6.6105380793574602</v>
      </c>
      <c r="P66">
        <v>18.0331469232089</v>
      </c>
      <c r="Q66">
        <v>3.7055521248268799</v>
      </c>
      <c r="R66">
        <v>0.68429762730405796</v>
      </c>
      <c r="S66">
        <v>7.2193217703345702</v>
      </c>
      <c r="T66">
        <v>2.8671552178181798</v>
      </c>
      <c r="U66">
        <v>-0.64518818788584098</v>
      </c>
      <c r="V66">
        <v>14.998245469152</v>
      </c>
    </row>
    <row r="67" spans="1:22" x14ac:dyDescent="0.25">
      <c r="A67">
        <v>65</v>
      </c>
      <c r="B67">
        <v>3072</v>
      </c>
      <c r="C67">
        <v>3</v>
      </c>
      <c r="D67">
        <v>2</v>
      </c>
      <c r="E67">
        <v>6.5990089768838703E-2</v>
      </c>
      <c r="F67">
        <v>5.8460252543217699</v>
      </c>
      <c r="G67">
        <v>29.314375996043101</v>
      </c>
      <c r="H67">
        <v>-11.7677598881584</v>
      </c>
      <c r="I67">
        <v>24.147005719976502</v>
      </c>
      <c r="J67">
        <v>8.3362441674751206</v>
      </c>
      <c r="K67">
        <v>-0.34550176380604197</v>
      </c>
      <c r="L67">
        <v>4.1687647343852499</v>
      </c>
      <c r="M67">
        <v>23.6927459438932</v>
      </c>
      <c r="N67">
        <v>-2.8042623965537201</v>
      </c>
      <c r="O67">
        <v>8.9483755976163408</v>
      </c>
      <c r="P67">
        <v>19.4458320986544</v>
      </c>
      <c r="Q67">
        <v>-11.7779216491179</v>
      </c>
      <c r="R67">
        <v>22.916763452184298</v>
      </c>
      <c r="S67">
        <v>8.3699658676737396</v>
      </c>
      <c r="T67">
        <v>-0.738528144266824</v>
      </c>
      <c r="U67">
        <v>7.0428178336312097</v>
      </c>
      <c r="V67">
        <v>17.1453325963972</v>
      </c>
    </row>
    <row r="68" spans="1:22" x14ac:dyDescent="0.25">
      <c r="A68">
        <v>66</v>
      </c>
      <c r="B68">
        <v>3077</v>
      </c>
      <c r="C68">
        <v>3</v>
      </c>
      <c r="D68">
        <v>2</v>
      </c>
      <c r="E68">
        <v>2.6646488257303802</v>
      </c>
      <c r="F68">
        <v>-5.80175729601567</v>
      </c>
      <c r="G68">
        <v>39.672641032103797</v>
      </c>
      <c r="H68">
        <v>-10.135384386264199</v>
      </c>
      <c r="I68">
        <v>22.904840178239901</v>
      </c>
      <c r="J68">
        <v>7.9312091280738999</v>
      </c>
      <c r="K68">
        <v>1.16134450708962</v>
      </c>
      <c r="L68">
        <v>1.6271489776746799</v>
      </c>
      <c r="M68">
        <v>21.213892326181998</v>
      </c>
      <c r="N68">
        <v>-1.5753274354109701</v>
      </c>
      <c r="O68">
        <v>3.1408421229518799</v>
      </c>
      <c r="P68">
        <v>23.753844083333501</v>
      </c>
      <c r="Q68">
        <v>-7.4749256651472002</v>
      </c>
      <c r="R68">
        <v>15.7580044474334</v>
      </c>
      <c r="S68">
        <v>10.0697988439357</v>
      </c>
      <c r="T68">
        <v>2.0623531880951802</v>
      </c>
      <c r="U68">
        <v>0.74907538515854499</v>
      </c>
      <c r="V68">
        <v>18.544164142337099</v>
      </c>
    </row>
    <row r="69" spans="1:22" x14ac:dyDescent="0.25">
      <c r="A69">
        <v>67</v>
      </c>
      <c r="B69">
        <v>3103</v>
      </c>
      <c r="C69">
        <v>3</v>
      </c>
      <c r="D69">
        <v>2</v>
      </c>
      <c r="E69">
        <v>-8.5746625830624499</v>
      </c>
      <c r="F69">
        <v>19.477311796449499</v>
      </c>
      <c r="G69">
        <v>27.420172151053801</v>
      </c>
      <c r="H69">
        <v>11.789494918290099</v>
      </c>
      <c r="I69">
        <v>-23.304748793432399</v>
      </c>
      <c r="J69">
        <v>23.6375349136229</v>
      </c>
      <c r="K69">
        <v>-0.624086020337</v>
      </c>
      <c r="L69">
        <v>4.0664397650214097</v>
      </c>
      <c r="M69">
        <v>21.645834152106499</v>
      </c>
      <c r="N69">
        <v>-2.4291740699031501</v>
      </c>
      <c r="O69">
        <v>5.5205989867312804</v>
      </c>
      <c r="P69">
        <v>18.9974664910089</v>
      </c>
      <c r="Q69">
        <v>10.1333037533363</v>
      </c>
      <c r="R69">
        <v>-19.154152100422898</v>
      </c>
      <c r="S69">
        <v>18.763261095862202</v>
      </c>
      <c r="T69">
        <v>3.5442846527462502</v>
      </c>
      <c r="U69">
        <v>-1.3681417783974199</v>
      </c>
      <c r="V69">
        <v>16.362386748428499</v>
      </c>
    </row>
    <row r="70" spans="1:22" x14ac:dyDescent="0.25">
      <c r="A70">
        <v>68</v>
      </c>
      <c r="B70">
        <v>3107</v>
      </c>
      <c r="C70">
        <v>3</v>
      </c>
      <c r="D70">
        <v>2</v>
      </c>
      <c r="E70">
        <v>-3.4812230484540998</v>
      </c>
      <c r="F70">
        <v>15.0822538839098</v>
      </c>
      <c r="G70">
        <v>27.406922997601601</v>
      </c>
      <c r="H70">
        <v>-0.87301425500039098</v>
      </c>
      <c r="I70">
        <v>8.9500126780040894</v>
      </c>
      <c r="J70">
        <v>8.9504419198043692</v>
      </c>
      <c r="K70">
        <v>-5.7314467103540103</v>
      </c>
      <c r="L70">
        <v>13.5898065930388</v>
      </c>
      <c r="M70">
        <v>19.613776914873799</v>
      </c>
      <c r="N70">
        <v>1.4882136623356499</v>
      </c>
      <c r="O70">
        <v>2.7586283633864301</v>
      </c>
      <c r="P70">
        <v>14.928461258452</v>
      </c>
      <c r="Q70">
        <v>-0.50683354511511602</v>
      </c>
      <c r="R70">
        <v>5.6610522132199899</v>
      </c>
      <c r="S70">
        <v>7.6022236589313303</v>
      </c>
      <c r="T70">
        <v>-4.0258738522349304</v>
      </c>
      <c r="U70">
        <v>10.0441804677964</v>
      </c>
      <c r="V70">
        <v>13.799651236650799</v>
      </c>
    </row>
    <row r="71" spans="1:22" x14ac:dyDescent="0.25">
      <c r="A71">
        <v>69</v>
      </c>
      <c r="B71">
        <v>3006</v>
      </c>
      <c r="C71">
        <v>3</v>
      </c>
      <c r="D71">
        <v>2</v>
      </c>
      <c r="E71">
        <v>5.4057458233375399</v>
      </c>
      <c r="F71">
        <v>-5.6777426992888298</v>
      </c>
      <c r="G71">
        <v>36.178596901121097</v>
      </c>
      <c r="H71">
        <v>-3.4491985425100902</v>
      </c>
      <c r="I71">
        <v>10.3305455828273</v>
      </c>
      <c r="J71">
        <v>12.345551278014099</v>
      </c>
      <c r="K71">
        <v>-8.0422780632314605</v>
      </c>
      <c r="L71">
        <v>14.964056153241099</v>
      </c>
      <c r="M71">
        <v>27.684025516837401</v>
      </c>
      <c r="N71">
        <v>2.0072595644212399</v>
      </c>
      <c r="O71">
        <v>2.0408582717177</v>
      </c>
      <c r="P71">
        <v>25.060914550032301</v>
      </c>
      <c r="Q71">
        <v>-0.58439873751902005</v>
      </c>
      <c r="R71">
        <v>3.8954746515760199</v>
      </c>
      <c r="S71">
        <v>9.3573000988610104</v>
      </c>
      <c r="T71">
        <v>-4.9095199270306802</v>
      </c>
      <c r="U71">
        <v>15.329438171454999</v>
      </c>
      <c r="V71">
        <v>15.5239995203529</v>
      </c>
    </row>
    <row r="72" spans="1:22" x14ac:dyDescent="0.25">
      <c r="A72">
        <v>70</v>
      </c>
      <c r="B72">
        <v>3007</v>
      </c>
      <c r="C72">
        <v>3</v>
      </c>
      <c r="D72">
        <v>2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20</v>
      </c>
      <c r="P72" t="s">
        <v>20</v>
      </c>
      <c r="Q72" t="s">
        <v>20</v>
      </c>
      <c r="R72" t="s">
        <v>20</v>
      </c>
      <c r="S72" t="s">
        <v>20</v>
      </c>
      <c r="T72" t="s">
        <v>20</v>
      </c>
      <c r="U72" t="s">
        <v>20</v>
      </c>
      <c r="V72" t="s">
        <v>20</v>
      </c>
    </row>
    <row r="73" spans="1:22" x14ac:dyDescent="0.25">
      <c r="A73">
        <v>71</v>
      </c>
      <c r="B73">
        <v>3008</v>
      </c>
      <c r="C73">
        <v>3</v>
      </c>
      <c r="D73">
        <v>2</v>
      </c>
      <c r="E73">
        <v>-3.0556249009795202</v>
      </c>
      <c r="F73">
        <v>13.5754927849827</v>
      </c>
      <c r="G73">
        <v>21.994953343651598</v>
      </c>
      <c r="H73">
        <v>1.96485808074359</v>
      </c>
      <c r="I73">
        <v>2.3561327468212498</v>
      </c>
      <c r="J73">
        <v>8.8032492199431704</v>
      </c>
      <c r="K73">
        <v>0.85777507636669503</v>
      </c>
      <c r="L73">
        <v>5.5370503744294401</v>
      </c>
      <c r="M73">
        <v>9.2206435710522907</v>
      </c>
      <c r="N73">
        <v>3.3992901256455301</v>
      </c>
      <c r="O73">
        <v>-1.46338481204356</v>
      </c>
      <c r="P73">
        <v>12.723224654544101</v>
      </c>
      <c r="Q73">
        <v>0.10834289269582401</v>
      </c>
      <c r="R73">
        <v>2.7002694666731202</v>
      </c>
      <c r="S73">
        <v>7.1299137936702897</v>
      </c>
      <c r="T73">
        <v>0.65325172927283204</v>
      </c>
      <c r="U73">
        <v>4.7060794778505102</v>
      </c>
      <c r="V73">
        <v>8.1181031032652005</v>
      </c>
    </row>
    <row r="74" spans="1:22" x14ac:dyDescent="0.25">
      <c r="A74">
        <v>72</v>
      </c>
      <c r="B74">
        <v>3010</v>
      </c>
      <c r="C74">
        <v>3</v>
      </c>
      <c r="D74">
        <v>2</v>
      </c>
      <c r="E74">
        <v>-3.8471793974948398</v>
      </c>
      <c r="F74">
        <v>8.5146995199654203</v>
      </c>
      <c r="G74">
        <v>35.304967413206299</v>
      </c>
      <c r="H74">
        <v>0.14921996225321499</v>
      </c>
      <c r="I74">
        <v>5.3362442620766899</v>
      </c>
      <c r="J74">
        <v>10.2451402161826</v>
      </c>
      <c r="K74">
        <v>-2.1952576605891601</v>
      </c>
      <c r="L74">
        <v>8.1070358093889308</v>
      </c>
      <c r="M74">
        <v>21.578247759510401</v>
      </c>
      <c r="N74">
        <v>2.7776942578931498</v>
      </c>
      <c r="O74">
        <v>-2.175848967091</v>
      </c>
      <c r="P74">
        <v>24.923287513265802</v>
      </c>
      <c r="Q74">
        <v>1.79466606631061</v>
      </c>
      <c r="R74">
        <v>0.81557079296194401</v>
      </c>
      <c r="S74">
        <v>6.55221241274179</v>
      </c>
      <c r="T74">
        <v>4.1468742411319601</v>
      </c>
      <c r="U74">
        <v>-0.72635978593589601</v>
      </c>
      <c r="V74">
        <v>18.194699927483899</v>
      </c>
    </row>
    <row r="75" spans="1:22" x14ac:dyDescent="0.25">
      <c r="A75">
        <v>73</v>
      </c>
      <c r="B75">
        <v>3021</v>
      </c>
      <c r="C75">
        <v>3</v>
      </c>
      <c r="D75">
        <v>2</v>
      </c>
      <c r="E75">
        <v>0.91349563560513503</v>
      </c>
      <c r="F75">
        <v>-2.5414162645813598</v>
      </c>
      <c r="G75">
        <v>32.586730435605403</v>
      </c>
      <c r="H75">
        <v>-4.0895787418033098</v>
      </c>
      <c r="I75">
        <v>11.587328488582701</v>
      </c>
      <c r="J75">
        <v>11.2776297562158</v>
      </c>
      <c r="K75">
        <v>-5.0320926322222901</v>
      </c>
      <c r="L75">
        <v>12.672460075781901</v>
      </c>
      <c r="M75">
        <v>14.079508220871199</v>
      </c>
      <c r="N75">
        <v>-0.51084159197380197</v>
      </c>
      <c r="O75">
        <v>0.73029569710446995</v>
      </c>
      <c r="P75">
        <v>21.737948627214799</v>
      </c>
      <c r="Q75">
        <v>-4.5905443740632803</v>
      </c>
      <c r="R75">
        <v>10.4706199805337</v>
      </c>
      <c r="S75">
        <v>8.6557579357587198</v>
      </c>
      <c r="T75">
        <v>-3.64815042963887</v>
      </c>
      <c r="U75">
        <v>10.8419342830998</v>
      </c>
      <c r="V75">
        <v>11.4079625542965</v>
      </c>
    </row>
    <row r="76" spans="1:22" x14ac:dyDescent="0.25">
      <c r="A76">
        <v>74</v>
      </c>
      <c r="B76">
        <v>3026</v>
      </c>
      <c r="C76">
        <v>3</v>
      </c>
      <c r="D76">
        <v>2</v>
      </c>
      <c r="E76">
        <v>-5.5027354911952804</v>
      </c>
      <c r="F76">
        <v>9.9530488490485496</v>
      </c>
      <c r="G76">
        <v>31.342556024730399</v>
      </c>
      <c r="H76">
        <v>-1.3316734893567801</v>
      </c>
      <c r="I76">
        <v>5.6767667388192002</v>
      </c>
      <c r="J76">
        <v>11.4149373510845</v>
      </c>
      <c r="K76">
        <v>4.5069504962808198</v>
      </c>
      <c r="L76">
        <v>-1.0251239037356901</v>
      </c>
      <c r="M76">
        <v>16.194688774880301</v>
      </c>
      <c r="N76">
        <v>-5.41223112254848</v>
      </c>
      <c r="O76">
        <v>8.3248865514416703</v>
      </c>
      <c r="P76">
        <v>20.261125868145399</v>
      </c>
      <c r="Q76">
        <v>-3.84576001437383</v>
      </c>
      <c r="R76">
        <v>9.2343549782043208</v>
      </c>
      <c r="S76">
        <v>9.2062217212311399</v>
      </c>
      <c r="T76">
        <v>1.2675305920362401</v>
      </c>
      <c r="U76">
        <v>2.4423728500065698</v>
      </c>
      <c r="V76">
        <v>14.1153655863545</v>
      </c>
    </row>
    <row r="77" spans="1:22" x14ac:dyDescent="0.25">
      <c r="A77">
        <v>75</v>
      </c>
      <c r="B77">
        <v>3030</v>
      </c>
      <c r="C77">
        <v>3</v>
      </c>
      <c r="D77">
        <v>2</v>
      </c>
      <c r="E77">
        <v>13.298987077739</v>
      </c>
      <c r="F77">
        <v>-10.7274547142637</v>
      </c>
      <c r="G77">
        <v>27.210366259275599</v>
      </c>
      <c r="H77">
        <v>4.7397701367637497</v>
      </c>
      <c r="I77">
        <v>-4.13775431849253E-2</v>
      </c>
      <c r="J77">
        <v>5.0748414889796596</v>
      </c>
      <c r="K77">
        <v>4.9744415697673796</v>
      </c>
      <c r="L77">
        <v>-3.6844989372491201</v>
      </c>
      <c r="M77">
        <v>25.4353033144912</v>
      </c>
      <c r="N77">
        <v>9.9110411574895192</v>
      </c>
      <c r="O77">
        <v>-7.0672005265342799</v>
      </c>
      <c r="P77">
        <v>15.6416735581896</v>
      </c>
      <c r="Q77">
        <v>4.7240051027809304</v>
      </c>
      <c r="R77">
        <v>0.32146197381713798</v>
      </c>
      <c r="S77">
        <v>7.6274676300245003</v>
      </c>
      <c r="T77">
        <v>0.56925087351669501</v>
      </c>
      <c r="U77">
        <v>6.5878201363464699</v>
      </c>
      <c r="V77">
        <v>13.336862013399699</v>
      </c>
    </row>
    <row r="78" spans="1:22" x14ac:dyDescent="0.25">
      <c r="A78">
        <v>76</v>
      </c>
      <c r="B78">
        <v>3036</v>
      </c>
      <c r="C78">
        <v>3</v>
      </c>
      <c r="D78">
        <v>2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20</v>
      </c>
      <c r="P78" t="s">
        <v>20</v>
      </c>
      <c r="Q78" t="s">
        <v>20</v>
      </c>
      <c r="R78" t="s">
        <v>20</v>
      </c>
      <c r="S78" t="s">
        <v>20</v>
      </c>
      <c r="T78" t="s">
        <v>20</v>
      </c>
      <c r="U78" t="s">
        <v>20</v>
      </c>
      <c r="V78" t="s">
        <v>20</v>
      </c>
    </row>
    <row r="79" spans="1:22" x14ac:dyDescent="0.25">
      <c r="A79">
        <v>77</v>
      </c>
      <c r="B79">
        <v>3040</v>
      </c>
      <c r="C79">
        <v>3</v>
      </c>
      <c r="D79">
        <v>2</v>
      </c>
      <c r="E79">
        <v>-5.0247782826233101</v>
      </c>
      <c r="F79">
        <v>12.560142187708101</v>
      </c>
      <c r="G79">
        <v>19.220123490580502</v>
      </c>
      <c r="H79">
        <v>-2.6991864668249401</v>
      </c>
      <c r="I79">
        <v>7.0091851930412803</v>
      </c>
      <c r="J79">
        <v>14.0846092973207</v>
      </c>
      <c r="K79">
        <v>-3.80970824770045</v>
      </c>
      <c r="L79">
        <v>11.918518002674199</v>
      </c>
      <c r="M79">
        <v>16.634459249663099</v>
      </c>
      <c r="N79">
        <v>0.49392608384037101</v>
      </c>
      <c r="O79">
        <v>0.41426448833244001</v>
      </c>
      <c r="P79">
        <v>12.383734463044</v>
      </c>
      <c r="Q79">
        <v>-1.9410738620193</v>
      </c>
      <c r="R79">
        <v>3.86509591145126</v>
      </c>
      <c r="S79">
        <v>10.5133178489657</v>
      </c>
      <c r="T79">
        <v>2.6887021661475501</v>
      </c>
      <c r="U79">
        <v>2.4203296949387698</v>
      </c>
      <c r="V79">
        <v>12.504661466518201</v>
      </c>
    </row>
    <row r="80" spans="1:22" x14ac:dyDescent="0.25">
      <c r="A80">
        <v>78</v>
      </c>
      <c r="B80">
        <v>3041</v>
      </c>
      <c r="C80">
        <v>3</v>
      </c>
      <c r="D80">
        <v>2</v>
      </c>
      <c r="E80">
        <v>2.1160949554911901</v>
      </c>
      <c r="F80">
        <v>3.94215167901968</v>
      </c>
      <c r="G80">
        <v>28.024921141611198</v>
      </c>
      <c r="H80">
        <v>0.41652003508073998</v>
      </c>
      <c r="I80">
        <v>3.8501569527298898</v>
      </c>
      <c r="J80">
        <v>10.288643145090001</v>
      </c>
      <c r="K80">
        <v>6.0497968196790302</v>
      </c>
      <c r="L80">
        <v>-8.6695292858503397</v>
      </c>
      <c r="M80">
        <v>27.470338934365799</v>
      </c>
      <c r="N80">
        <v>0.76353588845925002</v>
      </c>
      <c r="O80">
        <v>7.8780670247256399</v>
      </c>
      <c r="P80">
        <v>12.7046025781504</v>
      </c>
      <c r="Q80">
        <v>2.92671530334166</v>
      </c>
      <c r="R80">
        <v>8.7595917939182505E-2</v>
      </c>
      <c r="S80">
        <v>7.1189208649651903</v>
      </c>
      <c r="T80">
        <v>2.8234398940714001</v>
      </c>
      <c r="U80">
        <v>1.7380101788139899</v>
      </c>
      <c r="V80">
        <v>17.756030788847202</v>
      </c>
    </row>
    <row r="81" spans="1:22" x14ac:dyDescent="0.25">
      <c r="A81">
        <v>79</v>
      </c>
      <c r="B81">
        <v>3043</v>
      </c>
      <c r="C81">
        <v>3</v>
      </c>
      <c r="D81">
        <v>2</v>
      </c>
      <c r="E81">
        <v>-0.90118393522241003</v>
      </c>
      <c r="F81">
        <v>3.75085322799143</v>
      </c>
      <c r="G81">
        <v>25.949730229830202</v>
      </c>
      <c r="H81">
        <v>2.4101492336395198</v>
      </c>
      <c r="I81">
        <v>-1.1837360335914999</v>
      </c>
      <c r="J81">
        <v>10.2673263332653</v>
      </c>
      <c r="K81">
        <v>2.5471224673887298</v>
      </c>
      <c r="L81">
        <v>1.65352724013615</v>
      </c>
      <c r="M81">
        <v>15.2311568121135</v>
      </c>
      <c r="N81">
        <v>2.2308395875769</v>
      </c>
      <c r="O81">
        <v>-0.94012524319203805</v>
      </c>
      <c r="P81">
        <v>14.034837190877401</v>
      </c>
      <c r="Q81">
        <v>1.48924410555154</v>
      </c>
      <c r="R81">
        <v>-1.11029191352583</v>
      </c>
      <c r="S81">
        <v>8.1704533260910797</v>
      </c>
      <c r="T81">
        <v>-2.54967059240585</v>
      </c>
      <c r="U81">
        <v>7.9356897173381604</v>
      </c>
      <c r="V81">
        <v>11.8588843782294</v>
      </c>
    </row>
    <row r="82" spans="1:22" x14ac:dyDescent="0.25">
      <c r="A82">
        <v>80</v>
      </c>
      <c r="B82">
        <v>3054</v>
      </c>
      <c r="C82">
        <v>3</v>
      </c>
      <c r="D82">
        <v>2</v>
      </c>
      <c r="E82">
        <v>6.3942965460814696</v>
      </c>
      <c r="F82">
        <v>-5.7811534634584998</v>
      </c>
      <c r="G82">
        <v>25.219826252723401</v>
      </c>
      <c r="H82">
        <v>-1.9897785114194</v>
      </c>
      <c r="I82">
        <v>5.1229769031416703</v>
      </c>
      <c r="J82">
        <v>15.6827064767121</v>
      </c>
      <c r="K82">
        <v>0.35432428859463799</v>
      </c>
      <c r="L82">
        <v>1.6430254864443801</v>
      </c>
      <c r="M82">
        <v>21.218194309304401</v>
      </c>
      <c r="N82">
        <v>-0.49946158612986002</v>
      </c>
      <c r="O82">
        <v>2.0136505003926399</v>
      </c>
      <c r="P82">
        <v>15.792932530843</v>
      </c>
      <c r="Q82">
        <v>-1.6350127727809101</v>
      </c>
      <c r="R82">
        <v>5.9477125731865899</v>
      </c>
      <c r="S82">
        <v>11.0357711864203</v>
      </c>
      <c r="T82">
        <v>-5.7673261603923303</v>
      </c>
      <c r="U82">
        <v>11.720575419776001</v>
      </c>
      <c r="V82">
        <v>16.255440193321402</v>
      </c>
    </row>
    <row r="83" spans="1:22" x14ac:dyDescent="0.25">
      <c r="A83">
        <v>81</v>
      </c>
      <c r="B83">
        <v>3055</v>
      </c>
      <c r="C83">
        <v>3</v>
      </c>
      <c r="D83">
        <v>2</v>
      </c>
      <c r="E83">
        <v>-0.210390909580351</v>
      </c>
      <c r="F83">
        <v>4.7212672314847604</v>
      </c>
      <c r="G83">
        <v>26.871659192754301</v>
      </c>
      <c r="H83">
        <v>-1.3343558697630999</v>
      </c>
      <c r="I83">
        <v>3.5517563112258101</v>
      </c>
      <c r="J83">
        <v>9.1059183183632904</v>
      </c>
      <c r="K83">
        <v>1.7005111962202899</v>
      </c>
      <c r="L83">
        <v>-2.2188236660729301</v>
      </c>
      <c r="M83">
        <v>22.0440455697603</v>
      </c>
      <c r="N83">
        <v>2.1022368888051699</v>
      </c>
      <c r="O83">
        <v>1.8426012995865899</v>
      </c>
      <c r="P83">
        <v>13.1394913818267</v>
      </c>
      <c r="Q83">
        <v>-0.86036854930830098</v>
      </c>
      <c r="R83">
        <v>4.22267065184794</v>
      </c>
      <c r="S83">
        <v>6.2204034455113302</v>
      </c>
      <c r="T83">
        <v>-0.43748070429282998</v>
      </c>
      <c r="U83">
        <v>1.9933995673432201</v>
      </c>
      <c r="V83">
        <v>14.2906273244239</v>
      </c>
    </row>
    <row r="84" spans="1:22" x14ac:dyDescent="0.25">
      <c r="A84">
        <v>82</v>
      </c>
      <c r="B84">
        <v>3058</v>
      </c>
      <c r="C84">
        <v>3</v>
      </c>
      <c r="D84">
        <v>2</v>
      </c>
      <c r="E84">
        <v>9.5019872841843895</v>
      </c>
      <c r="F84">
        <v>-10.319547035047201</v>
      </c>
      <c r="G84">
        <v>25.859031545077201</v>
      </c>
      <c r="H84">
        <v>-3.1463603394739601</v>
      </c>
      <c r="I84">
        <v>6.6816299326016004</v>
      </c>
      <c r="J84">
        <v>7.4601494340106598</v>
      </c>
      <c r="K84">
        <v>4.26173377144453</v>
      </c>
      <c r="L84">
        <v>-2.41011546357185</v>
      </c>
      <c r="M84">
        <v>21.623125576246998</v>
      </c>
      <c r="N84">
        <v>11.133809527802701</v>
      </c>
      <c r="O84">
        <v>-15.607075400627901</v>
      </c>
      <c r="P84">
        <v>21.991063102975801</v>
      </c>
      <c r="Q84">
        <v>-3.13214956454854</v>
      </c>
      <c r="R84">
        <v>6.61118221568415</v>
      </c>
      <c r="S84">
        <v>8.1640239175078992</v>
      </c>
      <c r="T84">
        <v>1.4486257555056199</v>
      </c>
      <c r="U84">
        <v>-0.28225027001388803</v>
      </c>
      <c r="V84">
        <v>19.092629180183099</v>
      </c>
    </row>
    <row r="85" spans="1:22" x14ac:dyDescent="0.25">
      <c r="A85">
        <v>83</v>
      </c>
      <c r="B85">
        <v>3059</v>
      </c>
      <c r="C85">
        <v>3</v>
      </c>
      <c r="D85">
        <v>2</v>
      </c>
      <c r="E85">
        <v>3.1311919699114901</v>
      </c>
      <c r="F85">
        <v>1.5377797436851</v>
      </c>
      <c r="G85">
        <v>17.646021355410401</v>
      </c>
      <c r="H85">
        <v>-4.1611895004091703</v>
      </c>
      <c r="I85">
        <v>10.1932104588253</v>
      </c>
      <c r="J85">
        <v>9.0396302684915408</v>
      </c>
      <c r="K85">
        <v>-5.3465365892309897</v>
      </c>
      <c r="L85">
        <v>12.7263304827759</v>
      </c>
      <c r="M85">
        <v>20.403163974212902</v>
      </c>
      <c r="N85">
        <v>-2.72064946646523E-2</v>
      </c>
      <c r="O85">
        <v>4.0017527276516898</v>
      </c>
      <c r="P85">
        <v>13.165398439273799</v>
      </c>
      <c r="Q85">
        <v>-3.0719652514648401</v>
      </c>
      <c r="R85">
        <v>9.2621209947172307</v>
      </c>
      <c r="S85">
        <v>7.9389139945400604</v>
      </c>
      <c r="T85">
        <v>-4.2880021657816796</v>
      </c>
      <c r="U85">
        <v>11.8679908231219</v>
      </c>
      <c r="V85">
        <v>15.009258035784599</v>
      </c>
    </row>
    <row r="86" spans="1:22" x14ac:dyDescent="0.25">
      <c r="A86">
        <v>84</v>
      </c>
      <c r="B86">
        <v>3066</v>
      </c>
      <c r="C86">
        <v>3</v>
      </c>
      <c r="D86">
        <v>2</v>
      </c>
      <c r="E86">
        <v>-2.2867408163584901</v>
      </c>
      <c r="F86">
        <v>5.4044223877548996</v>
      </c>
      <c r="G86">
        <v>22.645896813608999</v>
      </c>
      <c r="H86">
        <v>3.27012525914567</v>
      </c>
      <c r="I86">
        <v>-2.4434893710987802</v>
      </c>
      <c r="J86">
        <v>10.1609350350426</v>
      </c>
      <c r="K86">
        <v>1.1313755463686801</v>
      </c>
      <c r="L86">
        <v>0.94454366558415304</v>
      </c>
      <c r="M86">
        <v>22.705963267092098</v>
      </c>
      <c r="N86">
        <v>-3.4425530823758601</v>
      </c>
      <c r="O86">
        <v>5.0975777914226299</v>
      </c>
      <c r="P86">
        <v>16.352900109844501</v>
      </c>
      <c r="Q86">
        <v>1.6688465550881</v>
      </c>
      <c r="R86">
        <v>-1.6309643541577701</v>
      </c>
      <c r="S86">
        <v>11.886330854745699</v>
      </c>
      <c r="T86">
        <v>-0.33395177543765198</v>
      </c>
      <c r="U86">
        <v>2.3697176947652498</v>
      </c>
      <c r="V86">
        <v>19.559883215493102</v>
      </c>
    </row>
    <row r="87" spans="1:22" x14ac:dyDescent="0.25">
      <c r="A87">
        <v>85</v>
      </c>
      <c r="B87">
        <v>3068</v>
      </c>
      <c r="C87">
        <v>3</v>
      </c>
      <c r="D87">
        <v>2</v>
      </c>
      <c r="E87">
        <v>-7.9405518686895302</v>
      </c>
      <c r="F87">
        <v>14.0896752147402</v>
      </c>
      <c r="G87">
        <v>26.317006538243501</v>
      </c>
      <c r="H87">
        <v>-3.5663800625036299</v>
      </c>
      <c r="I87">
        <v>8.3852596352194304</v>
      </c>
      <c r="J87">
        <v>8.83646200229078</v>
      </c>
      <c r="K87">
        <v>-1.9805449595634499</v>
      </c>
      <c r="L87">
        <v>3.7430870866685</v>
      </c>
      <c r="M87">
        <v>25.916022328256499</v>
      </c>
      <c r="N87">
        <v>-2.7974426131964201</v>
      </c>
      <c r="O87">
        <v>5.9360313030772902</v>
      </c>
      <c r="P87">
        <v>18.891235193648399</v>
      </c>
      <c r="Q87">
        <v>-3.76518495590798</v>
      </c>
      <c r="R87">
        <v>8.8699536633898202</v>
      </c>
      <c r="S87">
        <v>7.5887093227173601</v>
      </c>
      <c r="T87">
        <v>0.30276121982950599</v>
      </c>
      <c r="U87">
        <v>2.7459709375215602</v>
      </c>
      <c r="V87">
        <v>15.839133829784901</v>
      </c>
    </row>
    <row r="88" spans="1:22" x14ac:dyDescent="0.25">
      <c r="A88">
        <v>86</v>
      </c>
      <c r="B88">
        <v>3069</v>
      </c>
      <c r="C88">
        <v>3</v>
      </c>
      <c r="D88">
        <v>2</v>
      </c>
      <c r="E88">
        <v>-3.7109812247215799</v>
      </c>
      <c r="F88">
        <v>8.8972227662598193</v>
      </c>
      <c r="G88">
        <v>23.905014941494901</v>
      </c>
      <c r="H88">
        <v>4.9058015448096501</v>
      </c>
      <c r="I88">
        <v>-2.7064241616329299</v>
      </c>
      <c r="J88">
        <v>16.7866759728314</v>
      </c>
      <c r="K88">
        <v>-0.67038872509941605</v>
      </c>
      <c r="L88">
        <v>8.3605291353497808</v>
      </c>
      <c r="M88">
        <v>17.147431985612599</v>
      </c>
      <c r="N88">
        <v>-7.0726822177830702</v>
      </c>
      <c r="O88">
        <v>16.137033278382901</v>
      </c>
      <c r="P88">
        <v>9.9699152915541305</v>
      </c>
      <c r="Q88">
        <v>4.6998103114987799</v>
      </c>
      <c r="R88">
        <v>-4.8678003290570304</v>
      </c>
      <c r="S88">
        <v>15.090816193530699</v>
      </c>
      <c r="T88">
        <v>-3.8233969467967901</v>
      </c>
      <c r="U88">
        <v>8.7491838255068597</v>
      </c>
      <c r="V88">
        <v>13.797930837302699</v>
      </c>
    </row>
    <row r="89" spans="1:22" x14ac:dyDescent="0.25">
      <c r="A89">
        <v>87</v>
      </c>
      <c r="B89">
        <v>3070</v>
      </c>
      <c r="C89">
        <v>3</v>
      </c>
      <c r="D89">
        <v>2</v>
      </c>
      <c r="E89">
        <v>-11.342695932089899</v>
      </c>
      <c r="F89">
        <v>28.253139263396999</v>
      </c>
      <c r="G89">
        <v>29.677233373737501</v>
      </c>
      <c r="H89">
        <v>0.55057401661321703</v>
      </c>
      <c r="I89">
        <v>5.4629362877767296</v>
      </c>
      <c r="J89">
        <v>15.0146422612039</v>
      </c>
      <c r="K89">
        <v>-3.3169691279131999</v>
      </c>
      <c r="L89">
        <v>17.016514968034201</v>
      </c>
      <c r="M89">
        <v>13.625037962935499</v>
      </c>
      <c r="N89">
        <v>-2.6749467475889701</v>
      </c>
      <c r="O89">
        <v>14.2541373206349</v>
      </c>
      <c r="P89">
        <v>15.727628724736199</v>
      </c>
      <c r="Q89">
        <v>-4.9970133517291204</v>
      </c>
      <c r="R89">
        <v>12.841838583035299</v>
      </c>
      <c r="S89">
        <v>8.3921947083396997</v>
      </c>
      <c r="T89">
        <v>2.48466510156819</v>
      </c>
      <c r="U89">
        <v>4.5837620645376198</v>
      </c>
      <c r="V89">
        <v>14.5462438147851</v>
      </c>
    </row>
    <row r="90" spans="1:22" x14ac:dyDescent="0.25">
      <c r="A90">
        <v>88</v>
      </c>
      <c r="B90">
        <v>3074</v>
      </c>
      <c r="C90">
        <v>3</v>
      </c>
      <c r="D90">
        <v>2</v>
      </c>
      <c r="E90">
        <v>-9.84631239439687</v>
      </c>
      <c r="F90">
        <v>26.5879493402159</v>
      </c>
      <c r="G90">
        <v>19.291844492893102</v>
      </c>
      <c r="H90">
        <v>-3.6803225630805798</v>
      </c>
      <c r="I90">
        <v>8.95429599922047</v>
      </c>
      <c r="J90">
        <v>6.94351614680056</v>
      </c>
      <c r="K90">
        <v>5.03957784622812</v>
      </c>
      <c r="L90">
        <v>-2.9733682457706299</v>
      </c>
      <c r="M90">
        <v>21.344742142814201</v>
      </c>
      <c r="N90">
        <v>-6.5131215102456004</v>
      </c>
      <c r="O90">
        <v>18.432396330200302</v>
      </c>
      <c r="P90">
        <v>11.8897250610617</v>
      </c>
      <c r="Q90">
        <v>0.61057963495162604</v>
      </c>
      <c r="R90">
        <v>1.29540420985816</v>
      </c>
      <c r="S90">
        <v>8.4081506100964205</v>
      </c>
      <c r="T90">
        <v>5.08529464950412</v>
      </c>
      <c r="U90">
        <v>-7.4189686006376698</v>
      </c>
      <c r="V90">
        <v>18.726797313464399</v>
      </c>
    </row>
    <row r="91" spans="1:22" x14ac:dyDescent="0.25">
      <c r="A91">
        <v>89</v>
      </c>
      <c r="B91">
        <v>3076</v>
      </c>
      <c r="C91">
        <v>3</v>
      </c>
      <c r="D91">
        <v>2</v>
      </c>
      <c r="E91">
        <v>0.95722799018473503</v>
      </c>
      <c r="F91">
        <v>-0.84791479203176401</v>
      </c>
      <c r="G91">
        <v>33.750465502495501</v>
      </c>
      <c r="H91">
        <v>1.79174288524791</v>
      </c>
      <c r="I91">
        <v>2.67211334676974</v>
      </c>
      <c r="J91">
        <v>12.366456886750299</v>
      </c>
      <c r="K91">
        <v>4.2502400040535502</v>
      </c>
      <c r="L91">
        <v>-7.1751494658575998</v>
      </c>
      <c r="M91">
        <v>30.376965128125999</v>
      </c>
      <c r="N91">
        <v>-0.67301097987593095</v>
      </c>
      <c r="O91">
        <v>4.9986049774258099</v>
      </c>
      <c r="P91">
        <v>21.933116042017499</v>
      </c>
      <c r="Q91">
        <v>-2.80830199799765</v>
      </c>
      <c r="R91">
        <v>5.9064186226455</v>
      </c>
      <c r="S91">
        <v>12.583597469991901</v>
      </c>
      <c r="T91">
        <v>14.1738940313583</v>
      </c>
      <c r="U91">
        <v>-20.600131707376502</v>
      </c>
      <c r="V91">
        <v>28.5915009669264</v>
      </c>
    </row>
    <row r="92" spans="1:22" x14ac:dyDescent="0.25">
      <c r="A92">
        <v>90</v>
      </c>
      <c r="B92">
        <v>3086</v>
      </c>
      <c r="C92">
        <v>3</v>
      </c>
      <c r="D92">
        <v>2</v>
      </c>
      <c r="E92">
        <v>-5.1097657783831503</v>
      </c>
      <c r="F92">
        <v>15.050818758621499</v>
      </c>
      <c r="G92">
        <v>22.155382876732101</v>
      </c>
      <c r="H92">
        <v>-8.4474760822129706</v>
      </c>
      <c r="I92">
        <v>15.025595098838499</v>
      </c>
      <c r="J92">
        <v>10.893151535815999</v>
      </c>
      <c r="K92">
        <v>-0.49776359829427302</v>
      </c>
      <c r="L92">
        <v>2.84151038314271</v>
      </c>
      <c r="M92">
        <v>20.244933601300701</v>
      </c>
      <c r="N92">
        <v>-0.77605377709738199</v>
      </c>
      <c r="O92">
        <v>7.7248826555360397</v>
      </c>
      <c r="P92">
        <v>14.7822891665977</v>
      </c>
      <c r="Q92">
        <v>-5.4937969699166596</v>
      </c>
      <c r="R92">
        <v>10.676808364383801</v>
      </c>
      <c r="S92">
        <v>10.4128944349264</v>
      </c>
      <c r="T92">
        <v>-1.6679020208951101</v>
      </c>
      <c r="U92">
        <v>4.7360231517928497</v>
      </c>
      <c r="V92">
        <v>16.5114150128075</v>
      </c>
    </row>
    <row r="93" spans="1:22" x14ac:dyDescent="0.25">
      <c r="A93">
        <v>91</v>
      </c>
      <c r="B93">
        <v>3090</v>
      </c>
      <c r="C93">
        <v>3</v>
      </c>
      <c r="D93">
        <v>2</v>
      </c>
      <c r="E93">
        <v>2.1456298286827198</v>
      </c>
      <c r="F93">
        <v>-0.49319436348163698</v>
      </c>
      <c r="G93">
        <v>33.882106691906401</v>
      </c>
      <c r="H93">
        <v>7.2909250914987904</v>
      </c>
      <c r="I93">
        <v>-4.84322281056291</v>
      </c>
      <c r="J93">
        <v>21.0723895496049</v>
      </c>
      <c r="K93">
        <v>-1.53433649967351</v>
      </c>
      <c r="L93">
        <v>7.5003733881618997</v>
      </c>
      <c r="M93">
        <v>19.9953987862011</v>
      </c>
      <c r="N93">
        <v>2.31162447056</v>
      </c>
      <c r="O93">
        <v>-1.40456310870316</v>
      </c>
      <c r="P93">
        <v>23.564541825371698</v>
      </c>
      <c r="Q93">
        <v>1.8353971131347</v>
      </c>
      <c r="R93">
        <v>3.4872804648464002</v>
      </c>
      <c r="S93">
        <v>10.180059477534099</v>
      </c>
      <c r="T93">
        <v>-0.80147824199040396</v>
      </c>
      <c r="U93">
        <v>8.8327768752208602</v>
      </c>
      <c r="V93">
        <v>17.063101362824501</v>
      </c>
    </row>
    <row r="94" spans="1:22" x14ac:dyDescent="0.25">
      <c r="A94">
        <v>92</v>
      </c>
      <c r="B94">
        <v>3102</v>
      </c>
      <c r="C94">
        <v>3</v>
      </c>
      <c r="D94">
        <v>2</v>
      </c>
      <c r="E94">
        <v>5.7176410049955999</v>
      </c>
      <c r="F94">
        <v>1.7746207932314999</v>
      </c>
      <c r="G94">
        <v>29.5422373880313</v>
      </c>
      <c r="H94">
        <v>2.3932086180973999</v>
      </c>
      <c r="I94">
        <v>-1.4271938053728701</v>
      </c>
      <c r="J94">
        <v>10.413238130206601</v>
      </c>
      <c r="K94">
        <v>-9.0163507473255304</v>
      </c>
      <c r="L94">
        <v>22.809919301674</v>
      </c>
      <c r="M94">
        <v>14.835962881450101</v>
      </c>
      <c r="N94">
        <v>11.123397559845699</v>
      </c>
      <c r="O94">
        <v>-8.9875145810668506</v>
      </c>
      <c r="P94">
        <v>20.902412561850301</v>
      </c>
      <c r="Q94">
        <v>2.0481613658106399</v>
      </c>
      <c r="R94">
        <v>-1.3933937990799901</v>
      </c>
      <c r="S94">
        <v>8.3524569073106303</v>
      </c>
      <c r="T94">
        <v>-2.5606610848995399</v>
      </c>
      <c r="U94">
        <v>8.1562142596110903</v>
      </c>
      <c r="V94">
        <v>12.487245942311899</v>
      </c>
    </row>
    <row r="95" spans="1:22" x14ac:dyDescent="0.25">
      <c r="A95">
        <v>93</v>
      </c>
      <c r="B95">
        <v>3104</v>
      </c>
      <c r="C95">
        <v>3</v>
      </c>
      <c r="D95">
        <v>2</v>
      </c>
      <c r="E95">
        <v>-12.682419617025401</v>
      </c>
      <c r="F95">
        <v>27.5547887752134</v>
      </c>
      <c r="G95">
        <v>15.871319122263399</v>
      </c>
      <c r="H95">
        <v>4.1613091315171102</v>
      </c>
      <c r="I95">
        <v>3.46187275326698</v>
      </c>
      <c r="J95">
        <v>13.163082342336899</v>
      </c>
      <c r="K95">
        <v>-0.94331263646202401</v>
      </c>
      <c r="L95">
        <v>5.6113354486516904</v>
      </c>
      <c r="M95">
        <v>23.123168244861802</v>
      </c>
      <c r="N95">
        <v>-5.5925797939625896</v>
      </c>
      <c r="O95">
        <v>14.0439315873202</v>
      </c>
      <c r="P95">
        <v>12.1523222808933</v>
      </c>
      <c r="Q95">
        <v>3.0365200188245098</v>
      </c>
      <c r="R95">
        <v>5.1806369730358899</v>
      </c>
      <c r="S95">
        <v>8.3250860041389103</v>
      </c>
      <c r="T95">
        <v>1.22929093452475</v>
      </c>
      <c r="U95">
        <v>4.0517762865816103</v>
      </c>
      <c r="V95">
        <v>17.777062739299499</v>
      </c>
    </row>
    <row r="96" spans="1:22" x14ac:dyDescent="0.25">
      <c r="A96">
        <v>94</v>
      </c>
      <c r="B96">
        <v>3105</v>
      </c>
      <c r="C96">
        <v>3</v>
      </c>
      <c r="D96">
        <v>2</v>
      </c>
      <c r="E96">
        <v>-5.2599067912640596</v>
      </c>
      <c r="F96">
        <v>14.7559260879814</v>
      </c>
      <c r="G96">
        <v>22.893028979224901</v>
      </c>
      <c r="H96">
        <v>0.33533271276030202</v>
      </c>
      <c r="I96">
        <v>3.2633124530790201</v>
      </c>
      <c r="J96">
        <v>11.970874904831801</v>
      </c>
      <c r="K96">
        <v>-4.0971647951906203</v>
      </c>
      <c r="L96">
        <v>12.678904487335901</v>
      </c>
      <c r="M96">
        <v>14.3157177655781</v>
      </c>
      <c r="N96">
        <v>-3.78588780785174</v>
      </c>
      <c r="O96">
        <v>9.8364896016033008</v>
      </c>
      <c r="P96">
        <v>14.6568973603367</v>
      </c>
      <c r="Q96">
        <v>3.1085774939609299</v>
      </c>
      <c r="R96">
        <v>-1.5734445797260099</v>
      </c>
      <c r="S96">
        <v>9.91965735569533</v>
      </c>
      <c r="T96">
        <v>-2.8773628213760198</v>
      </c>
      <c r="U96">
        <v>8.1920640846095303</v>
      </c>
      <c r="V96">
        <v>11.6583672365373</v>
      </c>
    </row>
    <row r="97" spans="1:22" x14ac:dyDescent="0.25">
      <c r="A97">
        <v>95</v>
      </c>
      <c r="B97">
        <v>3106</v>
      </c>
      <c r="C97">
        <v>3</v>
      </c>
      <c r="D97">
        <v>2</v>
      </c>
      <c r="E97">
        <v>-4.6820471164653803</v>
      </c>
      <c r="F97">
        <v>15.6711189007061</v>
      </c>
      <c r="G97">
        <v>18.540994553156199</v>
      </c>
      <c r="H97">
        <v>-0.71517015315401</v>
      </c>
      <c r="I97">
        <v>4.49611706683487</v>
      </c>
      <c r="J97">
        <v>8.0614810864664292</v>
      </c>
      <c r="K97">
        <v>-4.0294715477441301</v>
      </c>
      <c r="L97">
        <v>11.5652946769079</v>
      </c>
      <c r="M97">
        <v>16.959961950793499</v>
      </c>
      <c r="N97">
        <v>-2.4295228340934401</v>
      </c>
      <c r="O97">
        <v>9.4617820373638999</v>
      </c>
      <c r="P97">
        <v>11.7322433261455</v>
      </c>
      <c r="Q97">
        <v>-1.8413024111099401</v>
      </c>
      <c r="R97">
        <v>6.9325215018274502</v>
      </c>
      <c r="S97">
        <v>6.7975422444925098</v>
      </c>
      <c r="T97">
        <v>-3.1656279115348802</v>
      </c>
      <c r="U97">
        <v>11.408252726636199</v>
      </c>
      <c r="V97">
        <v>12.975989505050499</v>
      </c>
    </row>
    <row r="98" spans="1:22" x14ac:dyDescent="0.25">
      <c r="A98">
        <v>96</v>
      </c>
      <c r="B98">
        <v>3108</v>
      </c>
      <c r="C98">
        <v>3</v>
      </c>
      <c r="D98">
        <v>2</v>
      </c>
      <c r="E98">
        <v>4.3485466409838898</v>
      </c>
      <c r="F98">
        <v>-3.4136895352293899</v>
      </c>
      <c r="G98">
        <v>39.777390193704498</v>
      </c>
      <c r="H98">
        <v>-7.3544928742575602</v>
      </c>
      <c r="I98">
        <v>15.854484258918999</v>
      </c>
      <c r="J98">
        <v>13.1525635246067</v>
      </c>
      <c r="K98">
        <v>10.1665104651118</v>
      </c>
      <c r="L98">
        <v>1.8625048005826399</v>
      </c>
      <c r="M98">
        <v>16.112214214632701</v>
      </c>
      <c r="N98">
        <v>-2.1020039800371801</v>
      </c>
      <c r="O98">
        <v>4.1920733000322796</v>
      </c>
      <c r="P98">
        <v>25.959036007693499</v>
      </c>
      <c r="Q98">
        <v>-6.2211508124261004</v>
      </c>
      <c r="R98">
        <v>13.9648803562668</v>
      </c>
      <c r="S98">
        <v>8.8488118979028503</v>
      </c>
      <c r="T98">
        <v>3.2032750271094002</v>
      </c>
      <c r="U98">
        <v>3.6210176843197299</v>
      </c>
      <c r="V98">
        <v>12.645018363111401</v>
      </c>
    </row>
    <row r="99" spans="1:22" x14ac:dyDescent="0.25">
      <c r="A99">
        <v>97</v>
      </c>
      <c r="B99">
        <v>3110</v>
      </c>
      <c r="C99">
        <v>3</v>
      </c>
      <c r="D99">
        <v>2</v>
      </c>
      <c r="E99">
        <v>7.7239040901637797</v>
      </c>
      <c r="F99">
        <v>-8.7327792807739399</v>
      </c>
      <c r="G99">
        <v>42.253897910283598</v>
      </c>
      <c r="H99">
        <v>7.6877621707225297</v>
      </c>
      <c r="I99">
        <v>-12.794980876051699</v>
      </c>
      <c r="J99">
        <v>20.744042618931601</v>
      </c>
      <c r="K99">
        <v>-5.5541484083287402</v>
      </c>
      <c r="L99">
        <v>15.517092608680899</v>
      </c>
      <c r="M99">
        <v>19.6548511477231</v>
      </c>
      <c r="N99">
        <v>4.5343486759942602</v>
      </c>
      <c r="O99">
        <v>-7.8919654877294398</v>
      </c>
      <c r="P99">
        <v>31.920230364016401</v>
      </c>
      <c r="Q99">
        <v>5.43233131474922</v>
      </c>
      <c r="R99">
        <v>-11.350516043498001</v>
      </c>
      <c r="S99">
        <v>16.383999810026801</v>
      </c>
      <c r="T99">
        <v>3.3379011783519701</v>
      </c>
      <c r="U99">
        <v>-0.45840887731549801</v>
      </c>
      <c r="V99">
        <v>18.5327691784263</v>
      </c>
    </row>
    <row r="100" spans="1:22" x14ac:dyDescent="0.25">
      <c r="A100">
        <v>98</v>
      </c>
      <c r="B100">
        <v>3112</v>
      </c>
      <c r="C100">
        <v>3</v>
      </c>
      <c r="D100">
        <v>2</v>
      </c>
      <c r="E100">
        <v>-7.4070343478315799</v>
      </c>
      <c r="F100">
        <v>17.1918717220424</v>
      </c>
      <c r="G100">
        <v>20.4483490382067</v>
      </c>
      <c r="H100">
        <v>-1.31287341215069</v>
      </c>
      <c r="I100">
        <v>2.31526585118934</v>
      </c>
      <c r="J100">
        <v>14.224182063259001</v>
      </c>
      <c r="K100">
        <v>-6.8898770243343597</v>
      </c>
      <c r="L100">
        <v>13.948733095307301</v>
      </c>
      <c r="M100">
        <v>18.173576142492902</v>
      </c>
      <c r="N100">
        <v>-5.2797760354563703</v>
      </c>
      <c r="O100">
        <v>12.1192245830545</v>
      </c>
      <c r="P100">
        <v>12.3719984414709</v>
      </c>
      <c r="Q100">
        <v>-1.51542179142325</v>
      </c>
      <c r="R100">
        <v>5.0996939582720398</v>
      </c>
      <c r="S100">
        <v>8.9204221406334607</v>
      </c>
      <c r="T100">
        <v>-1.7266392718611501</v>
      </c>
      <c r="U100">
        <v>6.1367692002821803</v>
      </c>
      <c r="V100">
        <v>14.9108419041748</v>
      </c>
    </row>
    <row r="101" spans="1:22" x14ac:dyDescent="0.25">
      <c r="A101">
        <v>99</v>
      </c>
      <c r="B101">
        <v>3113</v>
      </c>
      <c r="C101">
        <v>3</v>
      </c>
      <c r="D101">
        <v>2</v>
      </c>
      <c r="E101">
        <v>2.3310003716666401</v>
      </c>
      <c r="F101">
        <v>3.84501519065208</v>
      </c>
      <c r="G101">
        <v>28.3666546620201</v>
      </c>
      <c r="H101">
        <v>-3.15172369370298</v>
      </c>
      <c r="I101">
        <v>10.931240996104</v>
      </c>
      <c r="J101">
        <v>10.1484235400843</v>
      </c>
      <c r="K101">
        <v>0.68207579275013897</v>
      </c>
      <c r="L101">
        <v>7.2486687033044097</v>
      </c>
      <c r="M101">
        <v>17.3459857950326</v>
      </c>
      <c r="N101">
        <v>-1.4880954505266299</v>
      </c>
      <c r="O101">
        <v>5.384474469283</v>
      </c>
      <c r="P101">
        <v>21.5032774137463</v>
      </c>
      <c r="Q101">
        <v>-0.88550124478510694</v>
      </c>
      <c r="R101">
        <v>5.8157205392096998</v>
      </c>
      <c r="S101">
        <v>10.8679226334762</v>
      </c>
      <c r="T101">
        <v>-1.67476299587233</v>
      </c>
      <c r="U101">
        <v>8.7730745815203299</v>
      </c>
      <c r="V101">
        <v>15.649002590551399</v>
      </c>
    </row>
    <row r="102" spans="1:22" x14ac:dyDescent="0.25">
      <c r="A102">
        <v>100</v>
      </c>
      <c r="B102">
        <v>3114</v>
      </c>
      <c r="C102">
        <v>3</v>
      </c>
      <c r="D102">
        <v>2</v>
      </c>
      <c r="E102">
        <v>-4.9713216207221702</v>
      </c>
      <c r="F102">
        <v>11.0240611272789</v>
      </c>
      <c r="G102">
        <v>34.611032954456697</v>
      </c>
      <c r="H102">
        <v>-8.6961237619689005</v>
      </c>
      <c r="I102">
        <v>14.6300125363564</v>
      </c>
      <c r="J102">
        <v>10.3852076059207</v>
      </c>
      <c r="K102">
        <v>-2.9339924301206302</v>
      </c>
      <c r="L102">
        <v>9.9006891260846501</v>
      </c>
      <c r="M102">
        <v>22.332410047678501</v>
      </c>
      <c r="N102">
        <v>-5.88614530055687</v>
      </c>
      <c r="O102">
        <v>11.6555091293492</v>
      </c>
      <c r="P102">
        <v>25.114620884288701</v>
      </c>
      <c r="Q102">
        <v>-8.9524596712209803</v>
      </c>
      <c r="R102">
        <v>15.609975089142401</v>
      </c>
      <c r="S102">
        <v>6.6743139785085601</v>
      </c>
      <c r="T102">
        <v>-0.59731077807064503</v>
      </c>
      <c r="U102">
        <v>6.9356273252028897</v>
      </c>
      <c r="V102">
        <v>15.5965544837818</v>
      </c>
    </row>
    <row r="103" spans="1:22" x14ac:dyDescent="0.25">
      <c r="A103">
        <v>101</v>
      </c>
      <c r="B103">
        <v>3123</v>
      </c>
      <c r="C103">
        <v>3</v>
      </c>
      <c r="D103">
        <v>2</v>
      </c>
      <c r="E103">
        <v>-6.6691673495936001</v>
      </c>
      <c r="F103">
        <v>17.566826386042099</v>
      </c>
      <c r="G103">
        <v>29.818669177595901</v>
      </c>
      <c r="H103">
        <v>-5.6582377481217501</v>
      </c>
      <c r="I103">
        <v>15.4948965270865</v>
      </c>
      <c r="J103">
        <v>10.0294267677418</v>
      </c>
      <c r="K103">
        <v>-5.0580064354734704</v>
      </c>
      <c r="L103">
        <v>13.477522689991799</v>
      </c>
      <c r="M103">
        <v>19.010378508182299</v>
      </c>
      <c r="N103">
        <v>-10.7901409163452</v>
      </c>
      <c r="O103">
        <v>22.6227934439999</v>
      </c>
      <c r="P103">
        <v>19.128464624516099</v>
      </c>
      <c r="Q103">
        <v>-4.0197265784081804</v>
      </c>
      <c r="R103">
        <v>9.3976357860493707</v>
      </c>
      <c r="S103">
        <v>10.1061795880644</v>
      </c>
      <c r="T103">
        <v>1.76891732898274</v>
      </c>
      <c r="U103">
        <v>3.4141494526504301</v>
      </c>
      <c r="V103">
        <v>16.354589488472602</v>
      </c>
    </row>
    <row r="104" spans="1:22" x14ac:dyDescent="0.25">
      <c r="A104">
        <v>102</v>
      </c>
      <c r="B104">
        <v>3128</v>
      </c>
      <c r="C104">
        <v>3</v>
      </c>
      <c r="D104">
        <v>2</v>
      </c>
      <c r="E104">
        <v>-0.35203691376699903</v>
      </c>
      <c r="F104">
        <v>-0.25091769771266098</v>
      </c>
      <c r="G104">
        <v>37.458857962680298</v>
      </c>
      <c r="H104">
        <v>2.0276495644022399</v>
      </c>
      <c r="I104">
        <v>1.7658935868405401</v>
      </c>
      <c r="J104">
        <v>14.3609782806826</v>
      </c>
      <c r="K104">
        <v>2.6116831872467698</v>
      </c>
      <c r="L104">
        <v>1.4664368695610499</v>
      </c>
      <c r="M104">
        <v>26.137862935412201</v>
      </c>
      <c r="N104">
        <v>-3.3094754036594098</v>
      </c>
      <c r="O104">
        <v>10.293044603853</v>
      </c>
      <c r="P104">
        <v>15.130750388708</v>
      </c>
      <c r="Q104">
        <v>0.61837321979269999</v>
      </c>
      <c r="R104">
        <v>4.6785791093593003</v>
      </c>
      <c r="S104">
        <v>8.0007239482988393</v>
      </c>
      <c r="T104">
        <v>5.2226511322872096</v>
      </c>
      <c r="U104">
        <v>-5.7934700121404097</v>
      </c>
      <c r="V104">
        <v>20.091186811520899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f3cae6-dbc6-4cfb-a290-654dce2a21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89DE939589F14891FE120886B64102" ma:contentTypeVersion="14" ma:contentTypeDescription="Create a new document." ma:contentTypeScope="" ma:versionID="9f342d936985f3ff563ba2a90fba928a">
  <xsd:schema xmlns:xsd="http://www.w3.org/2001/XMLSchema" xmlns:xs="http://www.w3.org/2001/XMLSchema" xmlns:p="http://schemas.microsoft.com/office/2006/metadata/properties" xmlns:ns3="a4f3cae6-dbc6-4cfb-a290-654dce2a210e" xmlns:ns4="83100d1e-f1f5-4473-8b4f-8884a1cb324b" targetNamespace="http://schemas.microsoft.com/office/2006/metadata/properties" ma:root="true" ma:fieldsID="ead6e3af6573b0ac5d3f5488a13d3327" ns3:_="" ns4:_="">
    <xsd:import namespace="a4f3cae6-dbc6-4cfb-a290-654dce2a210e"/>
    <xsd:import namespace="83100d1e-f1f5-4473-8b4f-8884a1cb32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3cae6-dbc6-4cfb-a290-654dce2a21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00d1e-f1f5-4473-8b4f-8884a1cb324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AB50DA-BAEC-4EA8-AE82-DBC0253692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62361E-E2AD-436D-B8EF-C7E460E966F0}">
  <ds:schemaRefs>
    <ds:schemaRef ds:uri="http://purl.org/dc/dcmitype/"/>
    <ds:schemaRef ds:uri="83100d1e-f1f5-4473-8b4f-8884a1cb324b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a4f3cae6-dbc6-4cfb-a290-654dce2a210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C45BB0F-C15F-4134-AD08-FDCCA5DF3A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3cae6-dbc6-4cfb-a290-654dce2a210e"/>
    <ds:schemaRef ds:uri="83100d1e-f1f5-4473-8b4f-8884a1cb32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Demographics_all</vt:lpstr>
      <vt:lpstr>Demographics</vt:lpstr>
      <vt:lpstr>Table</vt:lpstr>
      <vt:lpstr>SPSS-Loadsol-Total_Cov</vt:lpstr>
      <vt:lpstr>Loadsol-Total_Cov</vt:lpstr>
      <vt:lpstr>SPSS-IMU-Cov</vt:lpstr>
      <vt:lpstr>IMU-Cov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Pliner</dc:creator>
  <cp:lastModifiedBy>Liu, Chang</cp:lastModifiedBy>
  <dcterms:created xsi:type="dcterms:W3CDTF">2024-03-06T18:06:18Z</dcterms:created>
  <dcterms:modified xsi:type="dcterms:W3CDTF">2024-11-13T19:31:28Z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0x0101001489DE939589F14891FE120886B64102</vt:lpwstr>
  </property>
</Properties>
</file>